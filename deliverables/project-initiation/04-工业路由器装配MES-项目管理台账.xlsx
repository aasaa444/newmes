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25cb90ac41400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项目总览" sheetId="1" r:id="R7b61f34bc18f4a02"/>
    <x:sheet xmlns:r="http://schemas.openxmlformats.org/officeDocument/2006/relationships" name="需求清单" sheetId="2" r:id="R8fe1d215ca1b48b8"/>
    <x:sheet xmlns:r="http://schemas.openxmlformats.org/officeDocument/2006/relationships" name="需求追踪" sheetId="3" r:id="Rfda2a5f5c5974417"/>
    <x:sheet xmlns:r="http://schemas.openxmlformats.org/officeDocument/2006/relationships" name="Fit-Gap" sheetId="4" r:id="R8932ab9eea6e47ac"/>
    <x:sheet xmlns:r="http://schemas.openxmlformats.org/officeDocument/2006/relationships" name="RACI" sheetId="5" r:id="R6dc5e2dc791f4dc3"/>
    <x:sheet xmlns:r="http://schemas.openxmlformats.org/officeDocument/2006/relationships" name="WBS" sheetId="6" r:id="R1d9c71b12f6b4e03"/>
    <x:sheet xmlns:r="http://schemas.openxmlformats.org/officeDocument/2006/relationships" name="RAID" sheetId="7" r:id="Rbce4cce3384f40b2"/>
    <x:sheet xmlns:r="http://schemas.openxmlformats.org/officeDocument/2006/relationships" name="接口清单" sheetId="8" r:id="Rf5cc62f336324c43"/>
    <x:sheet xmlns:r="http://schemas.openxmlformats.org/officeDocument/2006/relationships" name="UAT" sheetId="9" r:id="Rcd2ff529e83746a2"/>
    <x:sheet xmlns:r="http://schemas.openxmlformats.org/officeDocument/2006/relationships" name="待澄清问题" sheetId="10" r:id="Rb5d74470cf6749a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b/>
      <x:sz val="20"/>
      <x:color rgb="FFFFFFFF"/>
      <x:name val="Microsoft YaHei"/>
    </x:font>
    <x:font>
      <x:sz val="10"/>
      <x:color rgb="FF5A6672"/>
      <x:name val="Microsoft YaHei"/>
    </x:font>
    <x:font>
      <x:b/>
      <x:sz val="10"/>
      <x:color rgb="FF0F2B5B"/>
      <x:name val="Microsoft YaHei"/>
    </x:font>
    <x:font>
      <x:sz val="10"/>
      <x:color rgb="FF1F2A37"/>
      <x:name val="Microsoft YaHei"/>
    </x:font>
    <x:font>
      <x:b/>
      <x:sz val="10"/>
      <x:color rgb="FFFFFFFF"/>
      <x:name val="Microsoft YaHei"/>
    </x:font>
    <x:font>
      <x:b/>
      <x:sz val="14"/>
      <x:color rgb="FF2E7D46"/>
      <x:name val="Microsoft YaHei"/>
    </x:font>
    <x:font>
      <x:b/>
      <x:sz val="10"/>
      <x:color rgb="FF9A6300"/>
      <x:name val="Microsoft YaHei"/>
    </x:font>
    <x:font>
      <x:b/>
      <x:sz val="18"/>
      <x:color rgb="FFFFFFFF"/>
      <x:name val="Microsoft YaHei"/>
    </x:font>
  </x:fonts>
  <x:fills count="8">
    <x:fill>
      <x:patternFill patternType="none"/>
    </x:fill>
    <x:fill>
      <x:patternFill patternType="gray125"/>
    </x:fill>
    <x:fill>
      <x:patternFill patternType="solid">
        <x:fgColor rgb="FF0F2B5B"/>
      </x:patternFill>
    </x:fill>
    <x:fill>
      <x:patternFill patternType="solid">
        <x:fgColor rgb="FFE8F1FC"/>
      </x:patternFill>
    </x:fill>
    <x:fill>
      <x:patternFill patternType="solid">
        <x:fgColor rgb="FFF3F5F7"/>
      </x:patternFill>
    </x:fill>
    <x:fill>
      <x:patternFill patternType="solid">
        <x:fgColor rgb="FF1E6FD9"/>
      </x:patternFill>
    </x:fill>
    <x:fill>
      <x:patternFill patternType="solid">
        <x:fgColor rgb="FFE6F3EA"/>
      </x:patternFill>
    </x:fill>
    <x:fill>
      <x:patternFill patternType="solid">
        <x:fgColor rgb="FFFDF3E0"/>
      </x:patternFill>
    </x:fill>
  </x:fills>
  <x:borders count="2">
    <x:border/>
    <x:border>
      <x:left style="thin">
        <x:color rgb="FFD8DEE5"/>
      </x:left>
      <x:right style="thin">
        <x:color rgb="FFD8DEE5"/>
      </x:right>
      <x:top style="thin">
        <x:color rgb="FFD8DEE5"/>
      </x:top>
      <x:bottom style="thin">
        <x:color rgb="FFD8DEE5"/>
      </x:bottom>
    </x:border>
  </x:borders>
  <x:cellStyleXfs count="1">
    <x:xf numFmtId="0" fontId="0" fillId="0" borderId="0"/>
  </x:cellStyleXfs>
  <x:cellXfs count="2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1" xfId="0" applyNumberFormat="1" applyFont="1" applyFill="1" applyBorder="1"/>
    <x:xf numFmtId="0" fontId="6" fillId="6" borderId="1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0" xfId="0" applyNumberFormat="1" applyFont="1" applyFill="1" applyBorder="1" applyAlignment="1">
      <x:alignment wrapText="1"/>
    </x:xf>
    <x:xf numFmtId="0" fontId="8" fillId="2" borderId="0" xfId="0" applyNumberFormat="1" applyFont="1" applyFill="1" applyBorder="1"/>
    <x:xf numFmtId="0" fontId="8" fillId="2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vertical="center" wrapText="1"/>
    </x:xf>
    <x:xf numFmtId="0" fontId="4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1d23d62008c4ee1" /><Relationship Type="http://schemas.openxmlformats.org/officeDocument/2006/relationships/theme" Target="/xl/theme/theme1.xml" Id="Rdde12f42ce674ade" /><Relationship Type="http://schemas.openxmlformats.org/officeDocument/2006/relationships/sharedStrings" Target="/xl/sharedStrings.xml" Id="R543f45150edc487d" /><Relationship Type="http://schemas.openxmlformats.org/officeDocument/2006/relationships/worksheet" Target="/xl/worksheets/sheet1.xml" Id="R7b61f34bc18f4a02" /><Relationship Type="http://schemas.openxmlformats.org/officeDocument/2006/relationships/worksheet" Target="/xl/worksheets/sheet2.xml" Id="R8fe1d215ca1b48b8" /><Relationship Type="http://schemas.openxmlformats.org/officeDocument/2006/relationships/worksheet" Target="/xl/worksheets/sheet3.xml" Id="Rfda2a5f5c5974417" /><Relationship Type="http://schemas.openxmlformats.org/officeDocument/2006/relationships/worksheet" Target="/xl/worksheets/sheet4.xml" Id="R8932ab9eea6e47ac" /><Relationship Type="http://schemas.openxmlformats.org/officeDocument/2006/relationships/worksheet" Target="/xl/worksheets/sheet5.xml" Id="R6dc5e2dc791f4dc3" /><Relationship Type="http://schemas.openxmlformats.org/officeDocument/2006/relationships/worksheet" Target="/xl/worksheets/sheet6.xml" Id="R1d9c71b12f6b4e03" /><Relationship Type="http://schemas.openxmlformats.org/officeDocument/2006/relationships/worksheet" Target="/xl/worksheets/sheet7.xml" Id="Rbce4cce3384f40b2" /><Relationship Type="http://schemas.openxmlformats.org/officeDocument/2006/relationships/worksheet" Target="/xl/worksheets/sheet8.xml" Id="Rf5cc62f336324c43" /><Relationship Type="http://schemas.openxmlformats.org/officeDocument/2006/relationships/worksheet" Target="/xl/worksheets/sheet9.xml" Id="Rcd2ff529e83746a2" /><Relationship Type="http://schemas.openxmlformats.org/officeDocument/2006/relationships/worksheet" Target="/xl/worksheets/sheet10.xml" Id="Rb5d74470cf6749a3" /></Relationships>
</file>

<file path=xl/tables/table1.xml><?xml version="1.0" encoding="utf-8"?>
<x:table xmlns:x="http://schemas.openxmlformats.org/spreadsheetml/2006/main" id="1" name="RequirementsTable" displayName="RequirementsTable" ref="A4:J58" headerRowCount="1" totalsRowCount="0" totalsRowShown="0">
  <x:tableColumns count="10">
    <x:tableColumn id="1" name="需求ID"/>
    <x:tableColumn id="2" name="类型"/>
    <x:tableColumn id="3" name="领域"/>
    <x:tableColumn id="4" name="需求描述"/>
    <x:tableColumn id="5" name="优先级"/>
    <x:tableColumn id="6" name="证据等级"/>
    <x:tableColumn id="7" name="状态"/>
    <x:tableColumn id="8" name="责任角色"/>
    <x:tableColumn id="9" name="来源"/>
    <x:tableColumn id="10" name="备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raceabilityTable" displayName="TraceabilityTable" ref="A4:H58" headerRowCount="1" totalsRowCount="0" totalsRowShown="0">
  <x:tableColumns count="8">
    <x:tableColumn id="1" name="需求ID"/>
    <x:tableColumn id="2" name="领域"/>
    <x:tableColumn id="3" name="优先级"/>
    <x:tableColumn id="4" name="设计基线"/>
    <x:tableColumn id="5" name="实现阶段"/>
    <x:tableColumn id="6" name="测试/UAT"/>
    <x:tableColumn id="7" name="证据位置"/>
    <x:tableColumn id="8" name="当前结论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FitGapTable" displayName="FitGapTable" ref="A4:J14" headerRowCount="1" totalsRowCount="0" totalsRowShown="0">
  <x:tableColumns count="10">
    <x:tableColumn id="1" name="编号"/>
    <x:tableColumn id="2" name="能力"/>
    <x:tableColumn id="3" name="当前评估"/>
    <x:tableColumn id="4" name="目标能力"/>
    <x:tableColumn id="5" name="类型"/>
    <x:tableColumn id="6" name="优先级"/>
    <x:tableColumn id="7" name="处理策略"/>
    <x:tableColumn id="8" name="阶段"/>
    <x:tableColumn id="9" name="责任人"/>
    <x:tableColumn id="10" name="验证方式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aciTable" displayName="RaciTable" ref="A4:J14" headerRowCount="1" totalsRowCount="0" totalsRowShown="0">
  <x:tableColumns count="10">
    <x:tableColumn id="1" name="活动"/>
    <x:tableColumn id="2" name="项目发起人"/>
    <x:tableColumn id="3" name="客户项目经理"/>
    <x:tableColumn id="4" name="MES项目经理"/>
    <x:tableColumn id="5" name="计划"/>
    <x:tableColumn id="6" name="工艺"/>
    <x:tableColumn id="7" name="质量"/>
    <x:tableColumn id="8" name="物料"/>
    <x:tableColumn id="9" name="ERP/IT"/>
    <x:tableColumn id="10" name="开发测试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WbsTable" displayName="WbsTable" ref="A4:H24" headerRowCount="1" totalsRowCount="0" totalsRowShown="0">
  <x:tableColumns count="8">
    <x:tableColumn id="1" name="WBS ID"/>
    <x:tableColumn id="2" name="阶段"/>
    <x:tableColumn id="3" name="交付物"/>
    <x:tableColumn id="4" name="责任人"/>
    <x:tableColumn id="5" name="工期(天)"/>
    <x:tableColumn id="6" name="前置"/>
    <x:tableColumn id="7" name="退出条件"/>
    <x:tableColumn id="8" name="状态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RaidTable" displayName="RaidTable" ref="A4:H16" headerRowCount="1" totalsRowCount="0" totalsRowShown="0">
  <x:tableColumns count="8">
    <x:tableColumn id="1" name="编号"/>
    <x:tableColumn id="2" name="类型"/>
    <x:tableColumn id="3" name="描述"/>
    <x:tableColumn id="4" name="概率"/>
    <x:tableColumn id="5" name="影响"/>
    <x:tableColumn id="6" name="责任人"/>
    <x:tableColumn id="7" name="应对/验证"/>
    <x:tableColumn id="8" name="状态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InterfacesTable" displayName="InterfacesTable" ref="A4:H12" headerRowCount="1" totalsRowCount="0" totalsRowShown="0">
  <x:tableColumns count="8">
    <x:tableColumn id="1" name="编号"/>
    <x:tableColumn id="2" name="接口"/>
    <x:tableColumn id="3" name="方向"/>
    <x:tableColumn id="4" name="业务对象"/>
    <x:tableColumn id="5" name="触发"/>
    <x:tableColumn id="6" name="幂等键"/>
    <x:tableColumn id="7" name="回执"/>
    <x:tableColumn id="8" name="状态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UatTable" displayName="UatTable" ref="A4:F8" headerRowCount="1" totalsRowCount="0" totalsRowShown="0">
  <x:tableColumns count="6">
    <x:tableColumn id="1" name="编号"/>
    <x:tableColumn id="2" name="场景"/>
    <x:tableColumn id="3" name="参与角色"/>
    <x:tableColumn id="4" name="覆盖需求族"/>
    <x:tableColumn id="5" name="预期结果"/>
    <x:tableColumn id="6" name="状态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QuestionsTable" displayName="QuestionsTable" ref="A4:F16" headerRowCount="1" totalsRowCount="0" totalsRowShown="0">
  <x:tableColumns count="6">
    <x:tableColumn id="1" name="编号"/>
    <x:tableColumn id="2" name="领域"/>
    <x:tableColumn id="3" name="问题"/>
    <x:tableColumn id="4" name="责任人"/>
    <x:tableColumn id="5" name="决策门禁"/>
    <x:tableColumn id="6" name="状态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a5a708461d6457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b35ea88a67648c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7b74ca575a847b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1ae91ab3ee74b8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5786359e9a54b6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1cd097f5092448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60087c28904439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4bef17f6a3c4f9f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37754da2a40d470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54" hidden="0" customWidth="1"/>
    <x:col min="3" max="3" width="4" hidden="0" customWidth="1"/>
    <x:col min="4" max="4" width="18" hidden="0" customWidth="1"/>
    <x:col min="5" max="5" width="18" hidden="0" customWidth="1"/>
    <x:col min="6" max="6" width="4" hidden="0" customWidth="1"/>
    <x:col min="7" max="7" width="16" hidden="0" customWidth="1"/>
    <x:col min="8" max="8" width="16" hidden="0" customWidth="1"/>
  </x:cols>
  <x:sheetData>
    <x:row r="1" ht="38" customHeight="1">
      <x:c r="A1" s="2" t="str">
        <x:v>工业路由器装配 MES · 项目管理台账</x:v>
      </x:c>
    </x:row>
    <x:row r="2" ht="25" customHeight="1">
      <x:c r="A2" s="4" t="str">
        <x:v>试点候选 · 证据透明 · 先验证后承诺 | 版本 0.1 | 2026-07-29</x:v>
      </x:c>
    </x:row>
    <x:row r="4">
      <x:c r="A4" s="7" t="str">
        <x:v>项目</x:v>
      </x:c>
      <x:c r="B4" s="10" t="str">
        <x:v>工业路由器装配 MES 试点候选项目</x:v>
      </x:c>
      <x:c r="D4" s="12" t="str">
        <x:v>指标</x:v>
      </x:c>
      <x:c r="E4" s="12" t="str">
        <x:v>当前值</x:v>
      </x:c>
    </x:row>
    <x:row r="5">
      <x:c r="A5" s="7" t="str">
        <x:v>负责人</x:v>
      </x:c>
      <x:c r="B5" s="10" t="str">
        <x:v>李文韬</x:v>
      </x:c>
      <x:c r="D5" s="7" t="str">
        <x:v>需求总数</x:v>
      </x:c>
      <x:c r="E5" s="16" t="n">
        <x:f>COUNTA('需求清单'!$A$5:$A$58)</x:f>
        <x:v>54</x:v>
      </x:c>
    </x:row>
    <x:row r="6">
      <x:c r="A6" s="7" t="str">
        <x:v>当前状态</x:v>
      </x:c>
      <x:c r="B6" s="10" t="str">
        <x:v>领域救援与方案设计中</x:v>
      </x:c>
      <x:c r="D6" s="7" t="str">
        <x:v>Must 需求</x:v>
      </x:c>
      <x:c r="E6" s="16" t="n">
        <x:f>COUNTIF('需求清单'!$E$5:$E$58,"Must")</x:f>
        <x:v>54</x:v>
      </x:c>
    </x:row>
    <x:row r="7">
      <x:c r="A7" s="7" t="str">
        <x:v>试点边界</x:v>
      </x:c>
      <x:c r="B7" s="10" t="str">
        <x:v>已测 PCBA → 整机装配 → 合格整机交接</x:v>
      </x:c>
      <x:c r="D7" s="7" t="str">
        <x:v>开放 RAID</x:v>
      </x:c>
      <x:c r="E7" s="16" t="n">
        <x:f>COUNTIF('RAID'!$H$5:$H$16,"&lt;&gt;Closed")</x:f>
        <x:v>12</x:v>
      </x:c>
    </x:row>
    <x:row r="8">
      <x:c r="A8" s="7" t="str">
        <x:v>第一价值</x:v>
      </x:c>
      <x:c r="B8" s="10" t="str">
        <x:v>成品 SN 全过程追溯</x:v>
      </x:c>
      <x:c r="D8" s="7" t="str">
        <x:v>候选接口</x:v>
      </x:c>
      <x:c r="E8" s="16" t="n">
        <x:f>COUNTA('接口清单'!$A$5:$A$12)</x:f>
        <x:v>8</x:v>
      </x:c>
    </x:row>
    <x:row r="9">
      <x:c r="A9" s="7" t="str">
        <x:v>系统边界</x:v>
      </x:c>
      <x:c r="B9" s="10" t="str">
        <x:v>ERP 计划权威；MES 执行权威</x:v>
      </x:c>
      <x:c r="D9" s="7" t="str">
        <x:v>UAT 场景</x:v>
      </x:c>
      <x:c r="E9" s="16" t="n">
        <x:f>COUNTA('UAT'!$A$5:$A$8)</x:f>
        <x:v>4</x:v>
      </x:c>
    </x:row>
    <x:row r="10">
      <x:c r="A10" s="7" t="str">
        <x:v>可信度</x:v>
      </x:c>
      <x:c r="B10" s="10" t="str">
        <x:v>未验证；尚未完成制造从业者评审或真实现场验证</x:v>
      </x:c>
      <x:c r="D10" s="7" t="str">
        <x:v>待澄清问题</x:v>
      </x:c>
      <x:c r="E10" s="16" t="n">
        <x:f>COUNTIF('待澄清问题'!$F$5:$F$16,"Open")</x:f>
        <x:v>12</x:v>
      </x:c>
    </x:row>
    <x:row r="13" ht="34" customHeight="1">
      <x:c r="A13" s="19" t="str">
        <x:v>使用说明：台账是候选项目基线，不是客户已签署范围；现场数据、接口字段和业务规则完成验证后再升级证据等级。</x:v>
      </x:c>
    </x:row>
  </x:sheetData>
  <x:mergeCells>
    <x:mergeCell ref="A1:H1"/>
    <x:mergeCell ref="A2:H2"/>
    <x:mergeCell ref="A13:H1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0" hidden="0" customWidth="1"/>
    <x:col min="3" max="3" width="18" hidden="0" customWidth="1"/>
    <x:col min="4" max="4" width="66" hidden="0" customWidth="1"/>
    <x:col min="5" max="5" width="11" hidden="0" customWidth="1"/>
    <x:col min="6" max="6" width="14" hidden="0" customWidth="1"/>
    <x:col min="7" max="7" width="16" hidden="0" customWidth="1"/>
    <x:col min="8" max="8" width="16" hidden="0" customWidth="1"/>
    <x:col min="9" max="9" width="13" hidden="0" customWidth="1"/>
    <x:col min="10" max="10" width="34" hidden="0" customWidth="1"/>
  </x:cols>
  <x:sheetData>
    <x:row r="1" ht="34" customHeight="1">
      <x:c r="A1" s="21" t="str">
        <x:v>需求清单</x:v>
      </x:c>
    </x:row>
    <x:row r="2" ht="26" customHeight="1">
      <x:c r="A2" s="22" t="str">
        <x:v>54 条 FR/NFR；证据等级默认未验证</x:v>
      </x:c>
    </x:row>
    <x:row r="4" ht="28" customHeight="1">
      <x:c r="A4" s="24" t="str">
        <x:v>需求ID</x:v>
      </x:c>
      <x:c r="B4" s="24" t="str">
        <x:v>类型</x:v>
      </x:c>
      <x:c r="C4" s="24" t="str">
        <x:v>领域</x:v>
      </x:c>
      <x:c r="D4" s="24" t="str">
        <x:v>需求描述</x:v>
      </x:c>
      <x:c r="E4" s="24" t="str">
        <x:v>优先级</x:v>
      </x:c>
      <x:c r="F4" s="24" t="str">
        <x:v>证据等级</x:v>
      </x:c>
      <x:c r="G4" s="24" t="str">
        <x:v>状态</x:v>
      </x:c>
      <x:c r="H4" s="24" t="str">
        <x:v>责任角色</x:v>
      </x:c>
      <x:c r="I4" s="24" t="str">
        <x:v>来源</x:v>
      </x:c>
      <x:c r="J4" s="24" t="str">
        <x:v>备注</x:v>
      </x:c>
    </x:row>
    <x:row r="5" ht="36" customHeight="1">
      <x:c r="A5" s="25" t="str">
        <x:v>FR-MD-001</x:v>
      </x:c>
      <x:c r="B5" s="25" t="str">
        <x:v>功能</x:v>
      </x:c>
      <x:c r="C5" s="25" t="str">
        <x:v>主数据与执行快照</x:v>
      </x:c>
      <x:c r="D5" s="25" t="str">
        <x:v>系统必须通过正式集成契约接收 ERP 权威的产品、物料、计量单位和生产订单数据，记录来源版本与校验结果。</x:v>
      </x:c>
      <x:c r="E5" s="25" t="str">
        <x:v>Must</x:v>
      </x:c>
      <x:c r="F5" s="25" t="str">
        <x:v>未验证</x:v>
      </x:c>
      <x:c r="G5" s="25" t="str">
        <x:v>待实现/待验证</x:v>
      </x:c>
      <x:c r="H5" s="25" t="str">
        <x:v>计划/工艺</x:v>
      </x:c>
      <x:c r="I5" s="25" t="str">
        <x:v>BRS 0.1</x:v>
      </x:c>
      <x:c r="J5" s="25" t="str">
        <x:v>不得因候选路线而声称现场已确认</x:v>
      </x:c>
    </x:row>
    <x:row r="6" ht="36" customHeight="1">
      <x:c r="A6" s="25" t="str">
        <x:v>FR-MD-002</x:v>
      </x:c>
      <x:c r="B6" s="25" t="str">
        <x:v>功能</x:v>
      </x:c>
      <x:c r="C6" s="25" t="str">
        <x:v>主数据与执行快照</x:v>
      </x:c>
      <x:c r="D6" s="25" t="str">
        <x:v>工艺路线、追溯策略、工位、作业参数和测试规范必须采用受控版本，并保留批准状态和生效范围。</x:v>
      </x:c>
      <x:c r="E6" s="25" t="str">
        <x:v>Must</x:v>
      </x:c>
      <x:c r="F6" s="25" t="str">
        <x:v>未验证</x:v>
      </x:c>
      <x:c r="G6" s="25" t="str">
        <x:v>待实现/待验证</x:v>
      </x:c>
      <x:c r="H6" s="25" t="str">
        <x:v>计划/工艺</x:v>
      </x:c>
      <x:c r="I6" s="25" t="str">
        <x:v>BRS 0.1</x:v>
      </x:c>
      <x:c r="J6" s="25" t="str">
        <x:v>不得因候选路线而声称现场已确认</x:v>
      </x:c>
    </x:row>
    <x:row r="7" ht="36" customHeight="1">
      <x:c r="A7" s="25" t="str">
        <x:v>FR-MD-003</x:v>
      </x:c>
      <x:c r="B7" s="25" t="str">
        <x:v>功能</x:v>
      </x:c>
      <x:c r="C7" s="25" t="str">
        <x:v>主数据与执行快照</x:v>
      </x:c>
      <x:c r="D7" s="25" t="str">
        <x:v>生产订单下达时必须生成可独立还原的执行快照，不能只保存源记录 ID 或版本字符串。</x:v>
      </x:c>
      <x:c r="E7" s="25" t="str">
        <x:v>Must</x:v>
      </x:c>
      <x:c r="F7" s="25" t="str">
        <x:v>未验证</x:v>
      </x:c>
      <x:c r="G7" s="25" t="str">
        <x:v>待实现/待验证</x:v>
      </x:c>
      <x:c r="H7" s="25" t="str">
        <x:v>计划/工艺</x:v>
      </x:c>
      <x:c r="I7" s="25" t="str">
        <x:v>BRS 0.1</x:v>
      </x:c>
      <x:c r="J7" s="25" t="str">
        <x:v>不得因候选路线而声称现场已确认</x:v>
      </x:c>
    </x:row>
    <x:row r="8" ht="36" customHeight="1">
      <x:c r="A8" s="25" t="str">
        <x:v>FR-MD-004</x:v>
      </x:c>
      <x:c r="B8" s="25" t="str">
        <x:v>功能</x:v>
      </x:c>
      <x:c r="C8" s="25" t="str">
        <x:v>主数据与执行快照</x:v>
      </x:c>
      <x:c r="D8" s="25" t="str">
        <x:v>模板变更不得影响已投产 SN；订单变更必须形成受控版本、影响分析和审计记录。</x:v>
      </x:c>
      <x:c r="E8" s="25" t="str">
        <x:v>Must</x:v>
      </x:c>
      <x:c r="F8" s="25" t="str">
        <x:v>未验证</x:v>
      </x:c>
      <x:c r="G8" s="25" t="str">
        <x:v>待实现/待验证</x:v>
      </x:c>
      <x:c r="H8" s="25" t="str">
        <x:v>计划/工艺</x:v>
      </x:c>
      <x:c r="I8" s="25" t="str">
        <x:v>BRS 0.1</x:v>
      </x:c>
      <x:c r="J8" s="25" t="str">
        <x:v>不得因候选路线而声称现场已确认</x:v>
      </x:c>
    </x:row>
    <x:row r="9" ht="36" customHeight="1">
      <x:c r="A9" s="25" t="str">
        <x:v>FR-PO-001</x:v>
      </x:c>
      <x:c r="B9" s="25" t="str">
        <x:v>功能</x:v>
      </x:c>
      <x:c r="C9" s="25" t="str">
        <x:v>生产订单</x:v>
      </x:c>
      <x:c r="D9" s="25" t="str">
        <x:v>订单采用 `已接收 -&gt; 已下达 -&gt; 生产中 &lt;-&gt; 已暂停 -&gt; 执行完成 -&gt; 已关闭`；仅未投产订单允许取消。</x:v>
      </x:c>
      <x:c r="E9" s="25" t="str">
        <x:v>Must</x:v>
      </x:c>
      <x:c r="F9" s="25" t="str">
        <x:v>未验证</x:v>
      </x:c>
      <x:c r="G9" s="25" t="str">
        <x:v>待实现/待验证</x:v>
      </x:c>
      <x:c r="H9" s="25" t="str">
        <x:v>计划/工艺</x:v>
      </x:c>
      <x:c r="I9" s="25" t="str">
        <x:v>BRS 0.1</x:v>
      </x:c>
      <x:c r="J9" s="25" t="str">
        <x:v>不得因候选路线而声称现场已确认</x:v>
      </x:c>
    </x:row>
    <x:row r="10" ht="36" customHeight="1">
      <x:c r="A10" s="25" t="str">
        <x:v>FR-PO-002</x:v>
      </x:c>
      <x:c r="B10" s="25" t="str">
        <x:v>功能</x:v>
      </x:c>
      <x:c r="C10" s="25" t="str">
        <x:v>生产订单</x:v>
      </x:c>
      <x:c r="D10" s="25" t="str">
        <x:v>入站校验失败不得创建生产订单；重复消息不得重复建单。</x:v>
      </x:c>
      <x:c r="E10" s="25" t="str">
        <x:v>Must</x:v>
      </x:c>
      <x:c r="F10" s="25" t="str">
        <x:v>未验证</x:v>
      </x:c>
      <x:c r="G10" s="25" t="str">
        <x:v>待实现/待验证</x:v>
      </x:c>
      <x:c r="H10" s="25" t="str">
        <x:v>计划/工艺</x:v>
      </x:c>
      <x:c r="I10" s="25" t="str">
        <x:v>BRS 0.1</x:v>
      </x:c>
      <x:c r="J10" s="25" t="str">
        <x:v>不得因候选路线而声称现场已确认</x:v>
      </x:c>
    </x:row>
    <x:row r="11" ht="36" customHeight="1">
      <x:c r="A11" s="25" t="str">
        <x:v>FR-PO-003</x:v>
      </x:c>
      <x:c r="B11" s="25" t="str">
        <x:v>功能</x:v>
      </x:c>
      <x:c r="C11" s="25" t="str">
        <x:v>生产订单</x:v>
      </x:c>
      <x:c r="D11" s="25" t="str">
        <x:v>暂停必须阻止新的投产和正常过站，同时保留既有在制、质量和耗料责任。</x:v>
      </x:c>
      <x:c r="E11" s="25" t="str">
        <x:v>Must</x:v>
      </x:c>
      <x:c r="F11" s="25" t="str">
        <x:v>未验证</x:v>
      </x:c>
      <x:c r="G11" s="25" t="str">
        <x:v>待实现/待验证</x:v>
      </x:c>
      <x:c r="H11" s="25" t="str">
        <x:v>计划/工艺</x:v>
      </x:c>
      <x:c r="I11" s="25" t="str">
        <x:v>BRS 0.1</x:v>
      </x:c>
      <x:c r="J11" s="25" t="str">
        <x:v>不得因候选路线而声称现场已确认</x:v>
      </x:c>
    </x:row>
    <x:row r="12" ht="36" customHeight="1">
      <x:c r="A12" s="25" t="str">
        <x:v>FR-PO-004</x:v>
      </x:c>
      <x:c r="B12" s="25" t="str">
        <x:v>功能</x:v>
      </x:c>
      <x:c r="C12" s="25" t="str">
        <x:v>生产订单</x:v>
      </x:c>
      <x:c r="D12" s="25" t="str">
        <x:v>执行完成必须校验全部已投产 SN 已合格完工或报废，且不存在未决质量保留。</x:v>
      </x:c>
      <x:c r="E12" s="25" t="str">
        <x:v>Must</x:v>
      </x:c>
      <x:c r="F12" s="25" t="str">
        <x:v>未验证</x:v>
      </x:c>
      <x:c r="G12" s="25" t="str">
        <x:v>待实现/待验证</x:v>
      </x:c>
      <x:c r="H12" s="25" t="str">
        <x:v>计划/工艺</x:v>
      </x:c>
      <x:c r="I12" s="25" t="str">
        <x:v>BRS 0.1</x:v>
      </x:c>
      <x:c r="J12" s="25" t="str">
        <x:v>不得因候选路线而声称现场已确认</x:v>
      </x:c>
    </x:row>
    <x:row r="13" ht="36" customHeight="1">
      <x:c r="A13" s="25" t="str">
        <x:v>FR-PO-005</x:v>
      </x:c>
      <x:c r="B13" s="25" t="str">
        <x:v>功能</x:v>
      </x:c>
      <x:c r="C13" s="25" t="str">
        <x:v>生产订单</x:v>
      </x:c>
      <x:c r="D13" s="25" t="str">
        <x:v>关闭必须校验 ERP/WMS 回执、对账和差异处置完成，并将订单转为只读。</x:v>
      </x:c>
      <x:c r="E13" s="25" t="str">
        <x:v>Must</x:v>
      </x:c>
      <x:c r="F13" s="25" t="str">
        <x:v>未验证</x:v>
      </x:c>
      <x:c r="G13" s="25" t="str">
        <x:v>待实现/待验证</x:v>
      </x:c>
      <x:c r="H13" s="25" t="str">
        <x:v>计划/工艺</x:v>
      </x:c>
      <x:c r="I13" s="25" t="str">
        <x:v>BRS 0.1</x:v>
      </x:c>
      <x:c r="J13" s="25" t="str">
        <x:v>不得因候选路线而声称现场已确认</x:v>
      </x:c>
    </x:row>
    <x:row r="14" ht="36" customHeight="1">
      <x:c r="A14" s="25" t="str">
        <x:v>FR-ID-001</x:v>
      </x:c>
      <x:c r="B14" s="25" t="str">
        <x:v>功能</x:v>
      </x:c>
      <x:c r="C14" s="25" t="str">
        <x:v>产品身份</x:v>
      </x:c>
      <x:c r="D14" s="25" t="str">
        <x:v>成品 SN、MAC、IMEI、证书等身份必须记录来源、分配状态和关联历史；MES 只能使用获授权的发号方或号池。</x:v>
      </x:c>
      <x:c r="E14" s="25" t="str">
        <x:v>Must</x:v>
      </x:c>
      <x:c r="F14" s="25" t="str">
        <x:v>未验证</x:v>
      </x:c>
      <x:c r="G14" s="25" t="str">
        <x:v>待实现/待验证</x:v>
      </x:c>
      <x:c r="H14" s="25" t="str">
        <x:v>MES项目经理</x:v>
      </x:c>
      <x:c r="I14" s="25" t="str">
        <x:v>BRS 0.1</x:v>
      </x:c>
      <x:c r="J14" s="25" t="str">
        <x:v>不得因候选路线而声称现场已确认</x:v>
      </x:c>
    </x:row>
    <x:row r="15" ht="36" customHeight="1">
      <x:c r="A15" s="25" t="str">
        <x:v>FR-ID-002</x:v>
      </x:c>
      <x:c r="B15" s="25" t="str">
        <x:v>功能</x:v>
      </x:c>
      <x:c r="C15" s="25" t="str">
        <x:v>产品身份</x:v>
      </x:c>
      <x:c r="D15" s="25" t="str">
        <x:v>`START_WIP` 必须将成品身份、生产订单、产品和执行快照正式关联并形成制造事件。</x:v>
      </x:c>
      <x:c r="E15" s="25" t="str">
        <x:v>Must</x:v>
      </x:c>
      <x:c r="F15" s="25" t="str">
        <x:v>未验证</x:v>
      </x:c>
      <x:c r="G15" s="25" t="str">
        <x:v>待实现/待验证</x:v>
      </x:c>
      <x:c r="H15" s="25" t="str">
        <x:v>MES项目经理</x:v>
      </x:c>
      <x:c r="I15" s="25" t="str">
        <x:v>BRS 0.1</x:v>
      </x:c>
      <x:c r="J15" s="25" t="str">
        <x:v>不得因候选路线而声称现场已确认</x:v>
      </x:c>
    </x:row>
    <x:row r="16" ht="36" customHeight="1">
      <x:c r="A16" s="25" t="str">
        <x:v>FR-WIP-001</x:v>
      </x:c>
      <x:c r="B16" s="25" t="str">
        <x:v>功能</x:v>
      </x:c>
      <x:c r="C16" s="25" t="str">
        <x:v>在制执行</x:v>
      </x:c>
      <x:c r="D16" s="25" t="str">
        <x:v>系统必须维护每个成品 SN 的当前执行位置、质量保留和终态，同时保留全部历史事件。</x:v>
      </x:c>
      <x:c r="E16" s="25" t="str">
        <x:v>Must</x:v>
      </x:c>
      <x:c r="F16" s="25" t="str">
        <x:v>未验证</x:v>
      </x:c>
      <x:c r="G16" s="25" t="str">
        <x:v>待实现/待验证</x:v>
      </x:c>
      <x:c r="H16" s="25" t="str">
        <x:v>MES项目经理</x:v>
      </x:c>
      <x:c r="I16" s="25" t="str">
        <x:v>BRS 0.1</x:v>
      </x:c>
      <x:c r="J16" s="25" t="str">
        <x:v>不得因候选路线而声称现场已确认</x:v>
      </x:c>
    </x:row>
    <x:row r="17" ht="36" customHeight="1">
      <x:c r="A17" s="25" t="str">
        <x:v>FR-WIP-002</x:v>
      </x:c>
      <x:c r="B17" s="25" t="str">
        <x:v>功能</x:v>
      </x:c>
      <x:c r="C17" s="25" t="str">
        <x:v>在制执行</x:v>
      </x:c>
      <x:c r="D17" s="25" t="str">
        <x:v>只有当前应执行工序与工位能力一致时才允许过站；跳站请求必须被拒绝并说明原因。</x:v>
      </x:c>
      <x:c r="E17" s="25" t="str">
        <x:v>Must</x:v>
      </x:c>
      <x:c r="F17" s="25" t="str">
        <x:v>未验证</x:v>
      </x:c>
      <x:c r="G17" s="25" t="str">
        <x:v>待实现/待验证</x:v>
      </x:c>
      <x:c r="H17" s="25" t="str">
        <x:v>MES项目经理</x:v>
      </x:c>
      <x:c r="I17" s="25" t="str">
        <x:v>BRS 0.1</x:v>
      </x:c>
      <x:c r="J17" s="25" t="str">
        <x:v>不得因候选路线而声称现场已确认</x:v>
      </x:c>
    </x:row>
    <x:row r="18" ht="36" customHeight="1">
      <x:c r="A18" s="25" t="str">
        <x:v>FR-WIP-003</x:v>
      </x:c>
      <x:c r="B18" s="25" t="str">
        <x:v>功能</x:v>
      </x:c>
      <x:c r="C18" s="25" t="str">
        <x:v>在制执行</x:v>
      </x:c>
      <x:c r="D18" s="25" t="str">
        <x:v>绑定、解绑、换标、补打和更正必须追加事件并引用被更正事实，不得覆盖历史。</x:v>
      </x:c>
      <x:c r="E18" s="25" t="str">
        <x:v>Must</x:v>
      </x:c>
      <x:c r="F18" s="25" t="str">
        <x:v>未验证</x:v>
      </x:c>
      <x:c r="G18" s="25" t="str">
        <x:v>待实现/待验证</x:v>
      </x:c>
      <x:c r="H18" s="25" t="str">
        <x:v>MES项目经理</x:v>
      </x:c>
      <x:c r="I18" s="25" t="str">
        <x:v>BRS 0.1</x:v>
      </x:c>
      <x:c r="J18" s="25" t="str">
        <x:v>不得因候选路线而声称现场已确认</x:v>
      </x:c>
    </x:row>
    <x:row r="19" ht="36" customHeight="1">
      <x:c r="A19" s="25" t="str">
        <x:v>FR-MAT-001</x:v>
      </x:c>
      <x:c r="B19" s="25" t="str">
        <x:v>功能</x:v>
      </x:c>
      <x:c r="C19" s="25" t="str">
        <x:v>物料执行</x:v>
      </x:c>
      <x:c r="D19" s="25" t="str">
        <x:v>物料交接、工单发料和实际耗用必须作为三个独立业务事实。</x:v>
      </x:c>
      <x:c r="E19" s="25" t="str">
        <x:v>Must</x:v>
      </x:c>
      <x:c r="F19" s="25" t="str">
        <x:v>未验证</x:v>
      </x:c>
      <x:c r="G19" s="25" t="str">
        <x:v>待实现/待验证</x:v>
      </x:c>
      <x:c r="H19" s="25" t="str">
        <x:v>物料/计划</x:v>
      </x:c>
      <x:c r="I19" s="25" t="str">
        <x:v>BRS 0.1</x:v>
      </x:c>
      <x:c r="J19" s="25" t="str">
        <x:v>不得因候选路线而声称现场已确认</x:v>
      </x:c>
    </x:row>
    <x:row r="20" ht="36" customHeight="1">
      <x:c r="A20" s="25" t="str">
        <x:v>FR-MAT-002</x:v>
      </x:c>
      <x:c r="B20" s="25" t="str">
        <x:v>功能</x:v>
      </x:c>
      <x:c r="C20" s="25" t="str">
        <x:v>物料执行</x:v>
      </x:c>
      <x:c r="D20" s="25" t="str">
        <x:v>序列件在绑定具体部件 SN 时耗用；批次件记录 Lot 和数量；数量件按批准规则在指定工序回冲。</x:v>
      </x:c>
      <x:c r="E20" s="25" t="str">
        <x:v>Must</x:v>
      </x:c>
      <x:c r="F20" s="25" t="str">
        <x:v>未验证</x:v>
      </x:c>
      <x:c r="G20" s="25" t="str">
        <x:v>待实现/待验证</x:v>
      </x:c>
      <x:c r="H20" s="25" t="str">
        <x:v>物料/计划</x:v>
      </x:c>
      <x:c r="I20" s="25" t="str">
        <x:v>BRS 0.1</x:v>
      </x:c>
      <x:c r="J20" s="25" t="str">
        <x:v>不得因候选路线而声称现场已确认</x:v>
      </x:c>
    </x:row>
    <x:row r="21" ht="36" customHeight="1">
      <x:c r="A21" s="25" t="str">
        <x:v>FR-MAT-003</x:v>
      </x:c>
      <x:c r="B21" s="25" t="str">
        <x:v>功能</x:v>
      </x:c>
      <x:c r="C21" s="25" t="str">
        <x:v>物料执行</x:v>
      </x:c>
      <x:c r="D21" s="25" t="str">
        <x:v>当前线边余额和工单可用量必须由只追加物料事务投影，禁止直接改写总数或形成负库存。</x:v>
      </x:c>
      <x:c r="E21" s="25" t="str">
        <x:v>Must</x:v>
      </x:c>
      <x:c r="F21" s="25" t="str">
        <x:v>未验证</x:v>
      </x:c>
      <x:c r="G21" s="25" t="str">
        <x:v>待实现/待验证</x:v>
      </x:c>
      <x:c r="H21" s="25" t="str">
        <x:v>物料/计划</x:v>
      </x:c>
      <x:c r="I21" s="25" t="str">
        <x:v>BRS 0.1</x:v>
      </x:c>
      <x:c r="J21" s="25" t="str">
        <x:v>不得因候选路线而声称现场已确认</x:v>
      </x:c>
    </x:row>
    <x:row r="22" ht="36" customHeight="1">
      <x:c r="A22" s="25" t="str">
        <x:v>FR-MAT-004</x:v>
      </x:c>
      <x:c r="B22" s="25" t="str">
        <x:v>功能</x:v>
      </x:c>
      <x:c r="C22" s="25" t="str">
        <x:v>物料执行</x:v>
      </x:c>
      <x:c r="D22" s="25" t="str">
        <x:v>退料、冲正和调整必须使用反向或补偿事务，并记录原因、主体和关联原事务。</x:v>
      </x:c>
      <x:c r="E22" s="25" t="str">
        <x:v>Must</x:v>
      </x:c>
      <x:c r="F22" s="25" t="str">
        <x:v>未验证</x:v>
      </x:c>
      <x:c r="G22" s="25" t="str">
        <x:v>待实现/待验证</x:v>
      </x:c>
      <x:c r="H22" s="25" t="str">
        <x:v>物料/计划</x:v>
      </x:c>
      <x:c r="I22" s="25" t="str">
        <x:v>BRS 0.1</x:v>
      </x:c>
      <x:c r="J22" s="25" t="str">
        <x:v>不得因候选路线而声称现场已确认</x:v>
      </x:c>
    </x:row>
    <x:row r="23" ht="36" customHeight="1">
      <x:c r="A23" s="25" t="str">
        <x:v>FR-MAT-005</x:v>
      </x:c>
      <x:c r="B23" s="25" t="str">
        <x:v>功能</x:v>
      </x:c>
      <x:c r="C23" s="25" t="str">
        <x:v>物料执行</x:v>
      </x:c>
      <x:c r="D23" s="25" t="str">
        <x:v>成品谱系必须能显示逐件、批次和数量三种追溯粒度的投入关系。</x:v>
      </x:c>
      <x:c r="E23" s="25" t="str">
        <x:v>Must</x:v>
      </x:c>
      <x:c r="F23" s="25" t="str">
        <x:v>未验证</x:v>
      </x:c>
      <x:c r="G23" s="25" t="str">
        <x:v>待实现/待验证</x:v>
      </x:c>
      <x:c r="H23" s="25" t="str">
        <x:v>物料/计划</x:v>
      </x:c>
      <x:c r="I23" s="25" t="str">
        <x:v>BRS 0.1</x:v>
      </x:c>
      <x:c r="J23" s="25" t="str">
        <x:v>不得因候选路线而声称现场已确认</x:v>
      </x:c>
    </x:row>
    <x:row r="24" ht="36" customHeight="1">
      <x:c r="A24" s="25" t="str">
        <x:v>FR-FW-001</x:v>
      </x:c>
      <x:c r="B24" s="25" t="str">
        <x:v>功能</x:v>
      </x:c>
      <x:c r="C24" s="25" t="str">
        <x:v>固件与配置</x:v>
      </x:c>
      <x:c r="D24" s="25" t="str">
        <x:v>固件/配置执行必须记录包或配置标识、版本、校验值、设备/工具、操作主体、时间和结果。</x:v>
      </x:c>
      <x:c r="E24" s="25" t="str">
        <x:v>Must</x:v>
      </x:c>
      <x:c r="F24" s="25" t="str">
        <x:v>未验证</x:v>
      </x:c>
      <x:c r="G24" s="25" t="str">
        <x:v>待实现/待验证</x:v>
      </x:c>
      <x:c r="H24" s="25" t="str">
        <x:v>MES项目经理</x:v>
      </x:c>
      <x:c r="I24" s="25" t="str">
        <x:v>BRS 0.1</x:v>
      </x:c>
      <x:c r="J24" s="25" t="str">
        <x:v>不得因候选路线而声称现场已确认</x:v>
      </x:c>
    </x:row>
    <x:row r="25" ht="36" customHeight="1">
      <x:c r="A25" s="25" t="str">
        <x:v>FR-TEST-001</x:v>
      </x:c>
      <x:c r="B25" s="25" t="str">
        <x:v>功能</x:v>
      </x:c>
      <x:c r="C25" s="25" t="str">
        <x:v>测试执行</x:v>
      </x:c>
      <x:c r="D25" s="25" t="str">
        <x:v>测试规范必须定义项目、数据类型、单位、判定限、必测条件和版本。</x:v>
      </x:c>
      <x:c r="E25" s="25" t="str">
        <x:v>Must</x:v>
      </x:c>
      <x:c r="F25" s="25" t="str">
        <x:v>未验证</x:v>
      </x:c>
      <x:c r="G25" s="25" t="str">
        <x:v>待实现/待验证</x:v>
      </x:c>
      <x:c r="H25" s="25" t="str">
        <x:v>质量/工艺</x:v>
      </x:c>
      <x:c r="I25" s="25" t="str">
        <x:v>BRS 0.1</x:v>
      </x:c>
      <x:c r="J25" s="25" t="str">
        <x:v>不得因候选路线而声称现场已确认</x:v>
      </x:c>
    </x:row>
    <x:row r="26" ht="36" customHeight="1">
      <x:c r="A26" s="25" t="str">
        <x:v>FR-TEST-002</x:v>
      </x:c>
      <x:c r="B26" s="25" t="str">
        <x:v>功能</x:v>
      </x:c>
      <x:c r="C26" s="25" t="str">
        <x:v>测试执行</x:v>
      </x:c>
      <x:c r="D26" s="25" t="str">
        <x:v>每次测试必须形成独立执行记录，包含逐项测量、设备/夹具、起止时间、总体结果和原始报告引用。</x:v>
      </x:c>
      <x:c r="E26" s="25" t="str">
        <x:v>Must</x:v>
      </x:c>
      <x:c r="F26" s="25" t="str">
        <x:v>未验证</x:v>
      </x:c>
      <x:c r="G26" s="25" t="str">
        <x:v>待实现/待验证</x:v>
      </x:c>
      <x:c r="H26" s="25" t="str">
        <x:v>质量/工艺</x:v>
      </x:c>
      <x:c r="I26" s="25" t="str">
        <x:v>BRS 0.1</x:v>
      </x:c>
      <x:c r="J26" s="25" t="str">
        <x:v>不得因候选路线而声称现场已确认</x:v>
      </x:c>
    </x:row>
    <x:row r="27" ht="36" customHeight="1">
      <x:c r="A27" s="25" t="str">
        <x:v>FR-TEST-003</x:v>
      </x:c>
      <x:c r="B27" s="25" t="str">
        <x:v>功能</x:v>
      </x:c>
      <x:c r="C27" s="25" t="str">
        <x:v>测试执行</x:v>
      </x:c>
      <x:c r="D27" s="25" t="str">
        <x:v>复测必须追加新记录并关联原失败，不允许将失败记录修改为通过。</x:v>
      </x:c>
      <x:c r="E27" s="25" t="str">
        <x:v>Must</x:v>
      </x:c>
      <x:c r="F27" s="25" t="str">
        <x:v>未验证</x:v>
      </x:c>
      <x:c r="G27" s="25" t="str">
        <x:v>待实现/待验证</x:v>
      </x:c>
      <x:c r="H27" s="25" t="str">
        <x:v>质量/工艺</x:v>
      </x:c>
      <x:c r="I27" s="25" t="str">
        <x:v>BRS 0.1</x:v>
      </x:c>
      <x:c r="J27" s="25" t="str">
        <x:v>不得因候选路线而声称现场已确认</x:v>
      </x:c>
    </x:row>
    <x:row r="28" ht="36" customHeight="1">
      <x:c r="A28" s="25" t="str">
        <x:v>FR-TEST-004</x:v>
      </x:c>
      <x:c r="B28" s="25" t="str">
        <x:v>功能</x:v>
      </x:c>
      <x:c r="C28" s="25" t="str">
        <x:v>测试执行</x:v>
      </x:c>
      <x:c r="D28" s="25" t="str">
        <x:v>缺少必测项目、测量超限或存在未决质量保留时不得合格完工。</x:v>
      </x:c>
      <x:c r="E28" s="25" t="str">
        <x:v>Must</x:v>
      </x:c>
      <x:c r="F28" s="25" t="str">
        <x:v>未验证</x:v>
      </x:c>
      <x:c r="G28" s="25" t="str">
        <x:v>待实现/待验证</x:v>
      </x:c>
      <x:c r="H28" s="25" t="str">
        <x:v>质量/工艺</x:v>
      </x:c>
      <x:c r="I28" s="25" t="str">
        <x:v>BRS 0.1</x:v>
      </x:c>
      <x:c r="J28" s="25" t="str">
        <x:v>不得因候选路线而声称现场已确认</x:v>
      </x:c>
    </x:row>
    <x:row r="29" ht="36" customHeight="1">
      <x:c r="A29" s="25" t="str">
        <x:v>FR-QA-001</x:v>
      </x:c>
      <x:c r="B29" s="25" t="str">
        <x:v>功能</x:v>
      </x:c>
      <x:c r="C29" s="25" t="str">
        <x:v>质量闭环</x:v>
      </x:c>
      <x:c r="D29" s="25" t="str">
        <x:v>测试或操作发现不符合要求时，系统必须创建不合格记录并进入质量保留。</x:v>
      </x:c>
      <x:c r="E29" s="25" t="str">
        <x:v>Must</x:v>
      </x:c>
      <x:c r="F29" s="25" t="str">
        <x:v>未验证</x:v>
      </x:c>
      <x:c r="G29" s="25" t="str">
        <x:v>待实现/待验证</x:v>
      </x:c>
      <x:c r="H29" s="25" t="str">
        <x:v>质量/工艺</x:v>
      </x:c>
      <x:c r="I29" s="25" t="str">
        <x:v>BRS 0.1</x:v>
      </x:c>
      <x:c r="J29" s="25" t="str">
        <x:v>不得因候选路线而声称现场已确认</x:v>
      </x:c>
    </x:row>
    <x:row r="30" ht="36" customHeight="1">
      <x:c r="A30" s="25" t="str">
        <x:v>FR-QA-002</x:v>
      </x:c>
      <x:c r="B30" s="25" t="str">
        <x:v>功能</x:v>
      </x:c>
      <x:c r="C30" s="25" t="str">
        <x:v>质量闭环</x:v>
      </x:c>
      <x:c r="D30" s="25" t="str">
        <x:v>质量处置必须由授权人员选择返工、报废或让步接收，并记录理由与依据。</x:v>
      </x:c>
      <x:c r="E30" s="25" t="str">
        <x:v>Must</x:v>
      </x:c>
      <x:c r="F30" s="25" t="str">
        <x:v>未验证</x:v>
      </x:c>
      <x:c r="G30" s="25" t="str">
        <x:v>待实现/待验证</x:v>
      </x:c>
      <x:c r="H30" s="25" t="str">
        <x:v>质量/工艺</x:v>
      </x:c>
      <x:c r="I30" s="25" t="str">
        <x:v>BRS 0.1</x:v>
      </x:c>
      <x:c r="J30" s="25" t="str">
        <x:v>不得因候选路线而声称现场已确认</x:v>
      </x:c>
    </x:row>
    <x:row r="31" ht="36" customHeight="1">
      <x:c r="A31" s="25" t="str">
        <x:v>FR-QA-003</x:v>
      </x:c>
      <x:c r="B31" s="25" t="str">
        <x:v>功能</x:v>
      </x:c>
      <x:c r="C31" s="25" t="str">
        <x:v>质量闭环</x:v>
      </x:c>
      <x:c r="D31" s="25" t="str">
        <x:v>返工必须引用批准的返工作业或路线版本，并明确所需复测。</x:v>
      </x:c>
      <x:c r="E31" s="25" t="str">
        <x:v>Must</x:v>
      </x:c>
      <x:c r="F31" s="25" t="str">
        <x:v>未验证</x:v>
      </x:c>
      <x:c r="G31" s="25" t="str">
        <x:v>待实现/待验证</x:v>
      </x:c>
      <x:c r="H31" s="25" t="str">
        <x:v>质量/工艺</x:v>
      </x:c>
      <x:c r="I31" s="25" t="str">
        <x:v>BRS 0.1</x:v>
      </x:c>
      <x:c r="J31" s="25" t="str">
        <x:v>不得因候选路线而声称现场已确认</x:v>
      </x:c>
    </x:row>
    <x:row r="32" ht="36" customHeight="1">
      <x:c r="A32" s="25" t="str">
        <x:v>FR-QA-004</x:v>
      </x:c>
      <x:c r="B32" s="25" t="str">
        <x:v>功能</x:v>
      </x:c>
      <x:c r="C32" s="25" t="str">
        <x:v>质量闭环</x:v>
      </x:c>
      <x:c r="D32" s="25" t="str">
        <x:v>解除质量保留必须引用不合格记录、处置决定和完成证据，不接受自由文本“放行”。</x:v>
      </x:c>
      <x:c r="E32" s="25" t="str">
        <x:v>Must</x:v>
      </x:c>
      <x:c r="F32" s="25" t="str">
        <x:v>未验证</x:v>
      </x:c>
      <x:c r="G32" s="25" t="str">
        <x:v>待实现/待验证</x:v>
      </x:c>
      <x:c r="H32" s="25" t="str">
        <x:v>质量/工艺</x:v>
      </x:c>
      <x:c r="I32" s="25" t="str">
        <x:v>BRS 0.1</x:v>
      </x:c>
      <x:c r="J32" s="25" t="str">
        <x:v>不得因候选路线而声称现场已确认</x:v>
      </x:c>
    </x:row>
    <x:row r="33" ht="36" customHeight="1">
      <x:c r="A33" s="25" t="str">
        <x:v>FR-QA-005</x:v>
      </x:c>
      <x:c r="B33" s="25" t="str">
        <x:v>功能</x:v>
      </x:c>
      <x:c r="C33" s="25" t="str">
        <x:v>质量闭环</x:v>
      </x:c>
      <x:c r="D33" s="25" t="str">
        <x:v>报废必须形成终态、数量和物料责任变化，不得删除原执行事实。</x:v>
      </x:c>
      <x:c r="E33" s="25" t="str">
        <x:v>Must</x:v>
      </x:c>
      <x:c r="F33" s="25" t="str">
        <x:v>未验证</x:v>
      </x:c>
      <x:c r="G33" s="25" t="str">
        <x:v>待实现/待验证</x:v>
      </x:c>
      <x:c r="H33" s="25" t="str">
        <x:v>质量/工艺</x:v>
      </x:c>
      <x:c r="I33" s="25" t="str">
        <x:v>BRS 0.1</x:v>
      </x:c>
      <x:c r="J33" s="25" t="str">
        <x:v>不得因候选路线而声称现场已确认</x:v>
      </x:c>
    </x:row>
    <x:row r="34" ht="36" customHeight="1">
      <x:c r="A34" s="25" t="str">
        <x:v>FR-CMP-001</x:v>
      </x:c>
      <x:c r="B34" s="25" t="str">
        <x:v>功能</x:v>
      </x:c>
      <x:c r="C34" s="25" t="str">
        <x:v>完工与交接</x:v>
      </x:c>
      <x:c r="D34" s="25" t="str">
        <x:v>合格完工必须校验路线、测试、身份、质量和必要物料条件，并形成制造事件。</x:v>
      </x:c>
      <x:c r="E34" s="25" t="str">
        <x:v>Must</x:v>
      </x:c>
      <x:c r="F34" s="25" t="str">
        <x:v>未验证</x:v>
      </x:c>
      <x:c r="G34" s="25" t="str">
        <x:v>待实现/待验证</x:v>
      </x:c>
      <x:c r="H34" s="25" t="str">
        <x:v>物料/计划</x:v>
      </x:c>
      <x:c r="I34" s="25" t="str">
        <x:v>BRS 0.1</x:v>
      </x:c>
      <x:c r="J34" s="25" t="str">
        <x:v>不得因候选路线而声称现场已确认</x:v>
      </x:c>
    </x:row>
    <x:row r="35" ht="36" customHeight="1">
      <x:c r="A35" s="25" t="str">
        <x:v>FR-CMP-002</x:v>
      </x:c>
      <x:c r="B35" s="25" t="str">
        <x:v>功能</x:v>
      </x:c>
      <x:c r="C35" s="25" t="str">
        <x:v>完工与交接</x:v>
      </x:c>
      <x:c r="D35" s="25" t="str">
        <x:v>MES 合格完工、仓储接收和 ERP 入账必须使用不同状态和可关联业务键。</x:v>
      </x:c>
      <x:c r="E35" s="25" t="str">
        <x:v>Must</x:v>
      </x:c>
      <x:c r="F35" s="25" t="str">
        <x:v>未验证</x:v>
      </x:c>
      <x:c r="G35" s="25" t="str">
        <x:v>待实现/待验证</x:v>
      </x:c>
      <x:c r="H35" s="25" t="str">
        <x:v>物料/计划</x:v>
      </x:c>
      <x:c r="I35" s="25" t="str">
        <x:v>BRS 0.1</x:v>
      </x:c>
      <x:c r="J35" s="25" t="str">
        <x:v>不得因候选路线而声称现场已确认</x:v>
      </x:c>
    </x:row>
    <x:row r="36" ht="36" customHeight="1">
      <x:c r="A36" s="25" t="str">
        <x:v>FR-TRC-001</x:v>
      </x:c>
      <x:c r="B36" s="25" t="str">
        <x:v>功能</x:v>
      </x:c>
      <x:c r="C36" s="25" t="str">
        <x:v>单件谱系</x:v>
      </x:c>
      <x:c r="D36" s="25" t="str">
        <x:v>按成品 SN 查询必须返回订单、执行快照、工序、物料、固件、测试、质量、完工、交接和集成回执。</x:v>
      </x:c>
      <x:c r="E36" s="25" t="str">
        <x:v>Must</x:v>
      </x:c>
      <x:c r="F36" s="25" t="str">
        <x:v>未验证</x:v>
      </x:c>
      <x:c r="G36" s="25" t="str">
        <x:v>待实现/待验证</x:v>
      </x:c>
      <x:c r="H36" s="25" t="str">
        <x:v>质量/工艺</x:v>
      </x:c>
      <x:c r="I36" s="25" t="str">
        <x:v>BRS 0.1</x:v>
      </x:c>
      <x:c r="J36" s="25" t="str">
        <x:v>不得因候选路线而声称现场已确认</x:v>
      </x:c>
    </x:row>
    <x:row r="37" ht="36" customHeight="1">
      <x:c r="A37" s="25" t="str">
        <x:v>FR-TRC-002</x:v>
      </x:c>
      <x:c r="B37" s="25" t="str">
        <x:v>功能</x:v>
      </x:c>
      <x:c r="C37" s="25" t="str">
        <x:v>单件谱系</x:v>
      </x:c>
      <x:c r="D37" s="25" t="str">
        <x:v>谱系必须显示更正、冲正、解绑和复测的前后关系，而不是只显示最终结果。</x:v>
      </x:c>
      <x:c r="E37" s="25" t="str">
        <x:v>Must</x:v>
      </x:c>
      <x:c r="F37" s="25" t="str">
        <x:v>未验证</x:v>
      </x:c>
      <x:c r="G37" s="25" t="str">
        <x:v>待实现/待验证</x:v>
      </x:c>
      <x:c r="H37" s="25" t="str">
        <x:v>质量/工艺</x:v>
      </x:c>
      <x:c r="I37" s="25" t="str">
        <x:v>BRS 0.1</x:v>
      </x:c>
      <x:c r="J37" s="25" t="str">
        <x:v>不得因候选路线而声称现场已确认</x:v>
      </x:c>
    </x:row>
    <x:row r="38" ht="36" customHeight="1">
      <x:c r="A38" s="25" t="str">
        <x:v>FR-TRC-003</x:v>
      </x:c>
      <x:c r="B38" s="25" t="str">
        <x:v>功能</x:v>
      </x:c>
      <x:c r="C38" s="25" t="str">
        <x:v>单件谱系</x:v>
      </x:c>
      <x:c r="D38" s="25" t="str">
        <x:v>谱系导出必须包含生成时间、数据版本、查询条件和证据缺口说明。</x:v>
      </x:c>
      <x:c r="E38" s="25" t="str">
        <x:v>Must</x:v>
      </x:c>
      <x:c r="F38" s="25" t="str">
        <x:v>未验证</x:v>
      </x:c>
      <x:c r="G38" s="25" t="str">
        <x:v>待实现/待验证</x:v>
      </x:c>
      <x:c r="H38" s="25" t="str">
        <x:v>质量/工艺</x:v>
      </x:c>
      <x:c r="I38" s="25" t="str">
        <x:v>BRS 0.1</x:v>
      </x:c>
      <x:c r="J38" s="25" t="str">
        <x:v>不得因候选路线而声称现场已确认</x:v>
      </x:c>
    </x:row>
    <x:row r="39" ht="36" customHeight="1">
      <x:c r="A39" s="25" t="str">
        <x:v>FR-INT-001</x:v>
      </x:c>
      <x:c r="B39" s="25" t="str">
        <x:v>功能</x:v>
      </x:c>
      <x:c r="C39" s="25" t="str">
        <x:v>企业集成</x:v>
      </x:c>
      <x:c r="D39" s="25" t="str">
        <x:v>入站收件箱必须记录来源、消息 ID、业务键、消息类型、版本、原始载荷校验和处理结果。</x:v>
      </x:c>
      <x:c r="E39" s="25" t="str">
        <x:v>Must</x:v>
      </x:c>
      <x:c r="F39" s="25" t="str">
        <x:v>未验证</x:v>
      </x:c>
      <x:c r="G39" s="25" t="str">
        <x:v>待实现/待验证</x:v>
      </x:c>
      <x:c r="H39" s="25" t="str">
        <x:v>ERP/IT</x:v>
      </x:c>
      <x:c r="I39" s="25" t="str">
        <x:v>BRS 0.1</x:v>
      </x:c>
      <x:c r="J39" s="25" t="str">
        <x:v>不得因候选路线而声称现场已确认</x:v>
      </x:c>
    </x:row>
    <x:row r="40" ht="36" customHeight="1">
      <x:c r="A40" s="25" t="str">
        <x:v>FR-INT-002</x:v>
      </x:c>
      <x:c r="B40" s="25" t="str">
        <x:v>功能</x:v>
      </x:c>
      <x:c r="C40" s="25" t="str">
        <x:v>企业集成</x:v>
      </x:c>
      <x:c r="D40" s="25" t="str">
        <x:v>领域状态和出站消息必须在同一数据库事务中提交。</x:v>
      </x:c>
      <x:c r="E40" s="25" t="str">
        <x:v>Must</x:v>
      </x:c>
      <x:c r="F40" s="25" t="str">
        <x:v>未验证</x:v>
      </x:c>
      <x:c r="G40" s="25" t="str">
        <x:v>待实现/待验证</x:v>
      </x:c>
      <x:c r="H40" s="25" t="str">
        <x:v>ERP/IT</x:v>
      </x:c>
      <x:c r="I40" s="25" t="str">
        <x:v>BRS 0.1</x:v>
      </x:c>
      <x:c r="J40" s="25" t="str">
        <x:v>不得因候选路线而声称现场已确认</x:v>
      </x:c>
    </x:row>
    <x:row r="41" ht="36" customHeight="1">
      <x:c r="A41" s="25" t="str">
        <x:v>FR-INT-003</x:v>
      </x:c>
      <x:c r="B41" s="25" t="str">
        <x:v>功能</x:v>
      </x:c>
      <x:c r="C41" s="25" t="str">
        <x:v>企业集成</x:v>
      </x:c>
      <x:c r="D41" s="25" t="str">
        <x:v>出站消息必须支持 Pending、Processing、Sent、Failed 和 DeadLetter，以及自动/人工重试。</x:v>
      </x:c>
      <x:c r="E41" s="25" t="str">
        <x:v>Must</x:v>
      </x:c>
      <x:c r="F41" s="25" t="str">
        <x:v>未验证</x:v>
      </x:c>
      <x:c r="G41" s="25" t="str">
        <x:v>待实现/待验证</x:v>
      </x:c>
      <x:c r="H41" s="25" t="str">
        <x:v>ERP/IT</x:v>
      </x:c>
      <x:c r="I41" s="25" t="str">
        <x:v>BRS 0.1</x:v>
      </x:c>
      <x:c r="J41" s="25" t="str">
        <x:v>不得因候选路线而声称现场已确认</x:v>
      </x:c>
    </x:row>
    <x:row r="42" ht="36" customHeight="1">
      <x:c r="A42" s="25" t="str">
        <x:v>FR-INT-004</x:v>
      </x:c>
      <x:c r="B42" s="25" t="str">
        <x:v>功能</x:v>
      </x:c>
      <x:c r="C42" s="25" t="str">
        <x:v>企业集成</x:v>
      </x:c>
      <x:c r="D42" s="25" t="str">
        <x:v>系统必须提供回执关联、差异展示、人工补偿和对账证据。</x:v>
      </x:c>
      <x:c r="E42" s="25" t="str">
        <x:v>Must</x:v>
      </x:c>
      <x:c r="F42" s="25" t="str">
        <x:v>未验证</x:v>
      </x:c>
      <x:c r="G42" s="25" t="str">
        <x:v>待实现/待验证</x:v>
      </x:c>
      <x:c r="H42" s="25" t="str">
        <x:v>ERP/IT</x:v>
      </x:c>
      <x:c r="I42" s="25" t="str">
        <x:v>BRS 0.1</x:v>
      </x:c>
      <x:c r="J42" s="25" t="str">
        <x:v>不得因候选路线而声称现场已确认</x:v>
      </x:c>
    </x:row>
    <x:row r="43" ht="36" customHeight="1">
      <x:c r="A43" s="25" t="str">
        <x:v>FR-INT-005</x:v>
      </x:c>
      <x:c r="B43" s="25" t="str">
        <x:v>功能</x:v>
      </x:c>
      <x:c r="C43" s="25" t="str">
        <x:v>企业集成</x:v>
      </x:c>
      <x:c r="D43" s="25" t="str">
        <x:v>ERP 模拟适配器必须走与真实适配器相同的 Inbox/Outbox 和回执流程，禁止直写业务表。</x:v>
      </x:c>
      <x:c r="E43" s="25" t="str">
        <x:v>Must</x:v>
      </x:c>
      <x:c r="F43" s="25" t="str">
        <x:v>未验证</x:v>
      </x:c>
      <x:c r="G43" s="25" t="str">
        <x:v>待实现/待验证</x:v>
      </x:c>
      <x:c r="H43" s="25" t="str">
        <x:v>ERP/IT</x:v>
      </x:c>
      <x:c r="I43" s="25" t="str">
        <x:v>BRS 0.1</x:v>
      </x:c>
      <x:c r="J43" s="25" t="str">
        <x:v>不得因候选路线而声称现场已确认</x:v>
      </x:c>
    </x:row>
    <x:row r="44" ht="36" customHeight="1">
      <x:c r="A44" s="25" t="str">
        <x:v>FR-SEC-001</x:v>
      </x:c>
      <x:c r="B44" s="25" t="str">
        <x:v>功能</x:v>
      </x:c>
      <x:c r="C44" s="25" t="str">
        <x:v>权限与安全</x:v>
      </x:c>
      <x:c r="D44" s="25" t="str">
        <x:v>账号必须支持组合业务角色，默认工作台不得代替服务端授权。</x:v>
      </x:c>
      <x:c r="E44" s="25" t="str">
        <x:v>Must</x:v>
      </x:c>
      <x:c r="F44" s="25" t="str">
        <x:v>未验证</x:v>
      </x:c>
      <x:c r="G44" s="25" t="str">
        <x:v>待实现/待验证</x:v>
      </x:c>
      <x:c r="H44" s="25" t="str">
        <x:v>ERP/IT</x:v>
      </x:c>
      <x:c r="I44" s="25" t="str">
        <x:v>BRS 0.1</x:v>
      </x:c>
      <x:c r="J44" s="25" t="str">
        <x:v>不得因候选路线而声称现场已确认</x:v>
      </x:c>
    </x:row>
    <x:row r="45" ht="36" customHeight="1">
      <x:c r="A45" s="25" t="str">
        <x:v>FR-SEC-002</x:v>
      </x:c>
      <x:c r="B45" s="25" t="str">
        <x:v>功能</x:v>
      </x:c>
      <x:c r="C45" s="25" t="str">
        <x:v>权限与安全</x:v>
      </x:c>
      <x:c r="D45" s="25" t="str">
        <x:v>关键职责必须分离；系统管理员不能天然获得工艺和质量审批权。</x:v>
      </x:c>
      <x:c r="E45" s="25" t="str">
        <x:v>Must</x:v>
      </x:c>
      <x:c r="F45" s="25" t="str">
        <x:v>未验证</x:v>
      </x:c>
      <x:c r="G45" s="25" t="str">
        <x:v>待实现/待验证</x:v>
      </x:c>
      <x:c r="H45" s="25" t="str">
        <x:v>ERP/IT</x:v>
      </x:c>
      <x:c r="I45" s="25" t="str">
        <x:v>BRS 0.1</x:v>
      </x:c>
      <x:c r="J45" s="25" t="str">
        <x:v>不得因候选路线而声称现场已确认</x:v>
      </x:c>
    </x:row>
    <x:row r="46" ht="36" customHeight="1">
      <x:c r="A46" s="25" t="str">
        <x:v>FR-AUD-001</x:v>
      </x:c>
      <x:c r="B46" s="25" t="str">
        <x:v>功能</x:v>
      </x:c>
      <x:c r="C46" s="25" t="str">
        <x:v>审计</x:v>
      </x:c>
      <x:c r="D46" s="25" t="str">
        <x:v>关键业务动作必须记录主体、时间、对象、动作、理由和关联业务键。</x:v>
      </x:c>
      <x:c r="E46" s="25" t="str">
        <x:v>Must</x:v>
      </x:c>
      <x:c r="F46" s="25" t="str">
        <x:v>未验证</x:v>
      </x:c>
      <x:c r="G46" s="25" t="str">
        <x:v>待实现/待验证</x:v>
      </x:c>
      <x:c r="H46" s="25" t="str">
        <x:v>MES项目经理</x:v>
      </x:c>
      <x:c r="I46" s="25" t="str">
        <x:v>BRS 0.1</x:v>
      </x:c>
      <x:c r="J46" s="25" t="str">
        <x:v>不得因候选路线而声称现场已确认</x:v>
      </x:c>
    </x:row>
    <x:row r="47" ht="36" customHeight="1">
      <x:c r="A47" s="25" t="str">
        <x:v>FR-OPS-001</x:v>
      </x:c>
      <x:c r="B47" s="25" t="str">
        <x:v>功能</x:v>
      </x:c>
      <x:c r="C47" s="25" t="str">
        <x:v>运营查询</x:v>
      </x:c>
      <x:c r="D47" s="25" t="str">
        <x:v>授权角色必须能查看生产订单进度、在制分布、未决质量保留和集成异常，并下钻到单件事实。</x:v>
      </x:c>
      <x:c r="E47" s="25" t="str">
        <x:v>Must</x:v>
      </x:c>
      <x:c r="F47" s="25" t="str">
        <x:v>未验证</x:v>
      </x:c>
      <x:c r="G47" s="25" t="str">
        <x:v>待实现/待验证</x:v>
      </x:c>
      <x:c r="H47" s="25" t="str">
        <x:v>MES项目经理</x:v>
      </x:c>
      <x:c r="I47" s="25" t="str">
        <x:v>BRS 0.1</x:v>
      </x:c>
      <x:c r="J47" s="25" t="str">
        <x:v>不得因候选路线而声称现场已确认</x:v>
      </x:c>
    </x:row>
    <x:row r="48" ht="36" customHeight="1">
      <x:c r="A48" s="25" t="str">
        <x:v>FR-OPS-002</x:v>
      </x:c>
      <x:c r="B48" s="25" t="str">
        <x:v>功能</x:v>
      </x:c>
      <x:c r="C48" s="25" t="str">
        <x:v>运营查询</x:v>
      </x:c>
      <x:c r="D48" s="25" t="str">
        <x:v>聚合指标必须来自执行事实，不接受无来源的手工填报或装饰性大屏。</x:v>
      </x:c>
      <x:c r="E48" s="25" t="str">
        <x:v>Must</x:v>
      </x:c>
      <x:c r="F48" s="25" t="str">
        <x:v>未验证</x:v>
      </x:c>
      <x:c r="G48" s="25" t="str">
        <x:v>待实现/待验证</x:v>
      </x:c>
      <x:c r="H48" s="25" t="str">
        <x:v>MES项目经理</x:v>
      </x:c>
      <x:c r="I48" s="25" t="str">
        <x:v>BRS 0.1</x:v>
      </x:c>
      <x:c r="J48" s="25" t="str">
        <x:v>不得因候选路线而声称现场已确认</x:v>
      </x:c>
    </x:row>
    <x:row r="49" ht="36" customHeight="1">
      <x:c r="A49" s="25" t="str">
        <x:v>NFR-DATA-001</x:v>
      </x:c>
      <x:c r="B49" s="25" t="str">
        <x:v>非功能</x:v>
      </x:c>
      <x:c r="C49" s="25" t="str">
        <x:v>数据一致性</x:v>
      </x:c>
      <x:c r="D49" s="25" t="str">
        <x:v>制造事件、测试执行、质量处置和物料事务必须只追加；更正通过引用原记录的新事实表达。</x:v>
      </x:c>
      <x:c r="E49" s="25" t="str">
        <x:v>Must</x:v>
      </x:c>
      <x:c r="F49" s="25" t="str">
        <x:v>未验证</x:v>
      </x:c>
      <x:c r="G49" s="25" t="str">
        <x:v>待实现/待验证</x:v>
      </x:c>
      <x:c r="H49" s="25" t="str">
        <x:v>MES项目经理</x:v>
      </x:c>
      <x:c r="I49" s="25" t="str">
        <x:v>BRS 0.1</x:v>
      </x:c>
      <x:c r="J49" s="25" t="str">
        <x:v>不得因候选路线而声称现场已确认</x:v>
      </x:c>
    </x:row>
    <x:row r="50" ht="36" customHeight="1">
      <x:c r="A50" s="25" t="str">
        <x:v>NFR-CONS-001</x:v>
      </x:c>
      <x:c r="B50" s="25" t="str">
        <x:v>非功能</x:v>
      </x:c>
      <x:c r="C50" s="25" t="str">
        <x:v>事务一致性</x:v>
      </x:c>
      <x:c r="D50" s="25" t="str">
        <x:v>单个制造动作的规则校验、当前状态、制造事件和 Outbox 必须具备事务一致性。</x:v>
      </x:c>
      <x:c r="E50" s="25" t="str">
        <x:v>Must</x:v>
      </x:c>
      <x:c r="F50" s="25" t="str">
        <x:v>未验证</x:v>
      </x:c>
      <x:c r="G50" s="25" t="str">
        <x:v>待实现/待验证</x:v>
      </x:c>
      <x:c r="H50" s="25" t="str">
        <x:v>MES项目经理</x:v>
      </x:c>
      <x:c r="I50" s="25" t="str">
        <x:v>BRS 0.1</x:v>
      </x:c>
      <x:c r="J50" s="25" t="str">
        <x:v>不得因候选路线而声称现场已确认</x:v>
      </x:c>
    </x:row>
    <x:row r="51" ht="36" customHeight="1">
      <x:c r="A51" s="25" t="str">
        <x:v>NFR-DB-001</x:v>
      </x:c>
      <x:c r="B51" s="25" t="str">
        <x:v>非功能</x:v>
      </x:c>
      <x:c r="C51" s="25" t="str">
        <x:v>数据库演进</x:v>
      </x:c>
      <x:c r="D51" s="25" t="str">
        <x:v>SQL Server 架构只通过 EF Core Migration 演进，正式启动不得自动删库或装载演示数据。</x:v>
      </x:c>
      <x:c r="E51" s="25" t="str">
        <x:v>Must</x:v>
      </x:c>
      <x:c r="F51" s="25" t="str">
        <x:v>未验证</x:v>
      </x:c>
      <x:c r="G51" s="25" t="str">
        <x:v>待实现/待验证</x:v>
      </x:c>
      <x:c r="H51" s="25" t="str">
        <x:v>ERP/IT</x:v>
      </x:c>
      <x:c r="I51" s="25" t="str">
        <x:v>BRS 0.1</x:v>
      </x:c>
      <x:c r="J51" s="25" t="str">
        <x:v>不得因候选路线而声称现场已确认</x:v>
      </x:c>
    </x:row>
    <x:row r="52" ht="36" customHeight="1">
      <x:c r="A52" s="25" t="str">
        <x:v>NFR-TEST-001</x:v>
      </x:c>
      <x:c r="B52" s="25" t="str">
        <x:v>非功能</x:v>
      </x:c>
      <x:c r="C52" s="25" t="str">
        <x:v>测试执行</x:v>
      </x:c>
      <x:c r="D52" s="25" t="str">
        <x:v>每个发布版本必须通过 SQLite 快速回归与真实 SQL Server 关键集成测试。</x:v>
      </x:c>
      <x:c r="E52" s="25" t="str">
        <x:v>Must</x:v>
      </x:c>
      <x:c r="F52" s="25" t="str">
        <x:v>未验证</x:v>
      </x:c>
      <x:c r="G52" s="25" t="str">
        <x:v>待实现/待验证</x:v>
      </x:c>
      <x:c r="H52" s="25" t="str">
        <x:v>质量/工艺</x:v>
      </x:c>
      <x:c r="I52" s="25" t="str">
        <x:v>BRS 0.1</x:v>
      </x:c>
      <x:c r="J52" s="25" t="str">
        <x:v>不得因候选路线而声称现场已确认</x:v>
      </x:c>
    </x:row>
    <x:row r="53" ht="36" customHeight="1">
      <x:c r="A53" s="25" t="str">
        <x:v>NFR-SEC-001</x:v>
      </x:c>
      <x:c r="B53" s="25" t="str">
        <x:v>非功能</x:v>
      </x:c>
      <x:c r="C53" s="25" t="str">
        <x:v>权限与安全</x:v>
      </x:c>
      <x:c r="D53" s="25" t="str">
        <x:v>正式环境必须使用 HTTPS、外置密钥、最小权限数据库账号、受限来源和非演示账号初始化。</x:v>
      </x:c>
      <x:c r="E53" s="25" t="str">
        <x:v>Must</x:v>
      </x:c>
      <x:c r="F53" s="25" t="str">
        <x:v>未验证</x:v>
      </x:c>
      <x:c r="G53" s="25" t="str">
        <x:v>待实现/待验证</x:v>
      </x:c>
      <x:c r="H53" s="25" t="str">
        <x:v>ERP/IT</x:v>
      </x:c>
      <x:c r="I53" s="25" t="str">
        <x:v>BRS 0.1</x:v>
      </x:c>
      <x:c r="J53" s="25" t="str">
        <x:v>不得因候选路线而声称现场已确认</x:v>
      </x:c>
    </x:row>
    <x:row r="54" ht="36" customHeight="1">
      <x:c r="A54" s="25" t="str">
        <x:v>NFR-OPS-001</x:v>
      </x:c>
      <x:c r="B54" s="25" t="str">
        <x:v>非功能</x:v>
      </x:c>
      <x:c r="C54" s="25" t="str">
        <x:v>运营查询</x:v>
      </x:c>
      <x:c r="D54" s="25" t="str">
        <x:v>系统必须提供不泄密的存活/就绪检查、结构化日志、请求关联 ID 和关键任务告警入口。</x:v>
      </x:c>
      <x:c r="E54" s="25" t="str">
        <x:v>Must</x:v>
      </x:c>
      <x:c r="F54" s="25" t="str">
        <x:v>未验证</x:v>
      </x:c>
      <x:c r="G54" s="25" t="str">
        <x:v>待实现/待验证</x:v>
      </x:c>
      <x:c r="H54" s="25" t="str">
        <x:v>MES项目经理</x:v>
      </x:c>
      <x:c r="I54" s="25" t="str">
        <x:v>BRS 0.1</x:v>
      </x:c>
      <x:c r="J54" s="25" t="str">
        <x:v>不得因候选路线而声称现场已确认</x:v>
      </x:c>
    </x:row>
    <x:row r="55" ht="36" customHeight="1">
      <x:c r="A55" s="25" t="str">
        <x:v>NFR-REC-001</x:v>
      </x:c>
      <x:c r="B55" s="25" t="str">
        <x:v>非功能</x:v>
      </x:c>
      <x:c r="C55" s="25" t="str">
        <x:v>恢复能力</x:v>
      </x:c>
      <x:c r="D55" s="25" t="str">
        <x:v>试点候选恢复目标为 RPO 24 小时、RTO 4 小时，必须通过一次备份恢复演练验证；现场可重新约定。</x:v>
      </x:c>
      <x:c r="E55" s="25" t="str">
        <x:v>Must</x:v>
      </x:c>
      <x:c r="F55" s="25" t="str">
        <x:v>未验证</x:v>
      </x:c>
      <x:c r="G55" s="25" t="str">
        <x:v>待实现/待验证</x:v>
      </x:c>
      <x:c r="H55" s="25" t="str">
        <x:v>ERP/IT</x:v>
      </x:c>
      <x:c r="I55" s="25" t="str">
        <x:v>BRS 0.1</x:v>
      </x:c>
      <x:c r="J55" s="25" t="str">
        <x:v>不得因候选路线而声称现场已确认</x:v>
      </x:c>
    </x:row>
    <x:row r="56" ht="36" customHeight="1">
      <x:c r="A56" s="25" t="str">
        <x:v>NFR-PERF-001</x:v>
      </x:c>
      <x:c r="B56" s="25" t="str">
        <x:v>非功能</x:v>
      </x:c>
      <x:c r="C56" s="25" t="str">
        <x:v>性能</x:v>
      </x:c>
      <x:c r="D56" s="25" t="str">
        <x:v>扫码和过站交互目标、并发工位数、事件量和谱系查询时间必须在现场容量工作坊后基线化；当前不得伪造固定性能承诺。</x:v>
      </x:c>
      <x:c r="E56" s="25" t="str">
        <x:v>Must</x:v>
      </x:c>
      <x:c r="F56" s="25" t="str">
        <x:v>未验证</x:v>
      </x:c>
      <x:c r="G56" s="25" t="str">
        <x:v>待实现/待验证</x:v>
      </x:c>
      <x:c r="H56" s="25" t="str">
        <x:v>ERP/IT</x:v>
      </x:c>
      <x:c r="I56" s="25" t="str">
        <x:v>BRS 0.1</x:v>
      </x:c>
      <x:c r="J56" s="25" t="str">
        <x:v>不得因候选路线而声称现场已确认</x:v>
      </x:c>
    </x:row>
    <x:row r="57" ht="36" customHeight="1">
      <x:c r="A57" s="25" t="str">
        <x:v>NFR-RET-001</x:v>
      </x:c>
      <x:c r="B57" s="25" t="str">
        <x:v>非功能</x:v>
      </x:c>
      <x:c r="C57" s="25" t="str">
        <x:v>数据保留</x:v>
      </x:c>
      <x:c r="D57" s="25" t="str">
        <x:v>制造、审计、测试原始文件和个人信息的保存年限必须可配置，并由合同、客户和法规要求决定。</x:v>
      </x:c>
      <x:c r="E57" s="25" t="str">
        <x:v>Must</x:v>
      </x:c>
      <x:c r="F57" s="25" t="str">
        <x:v>未验证</x:v>
      </x:c>
      <x:c r="G57" s="25" t="str">
        <x:v>待实现/待验证</x:v>
      </x:c>
      <x:c r="H57" s="25" t="str">
        <x:v>质量/工艺</x:v>
      </x:c>
      <x:c r="I57" s="25" t="str">
        <x:v>BRS 0.1</x:v>
      </x:c>
      <x:c r="J57" s="25" t="str">
        <x:v>不得因候选路线而声称现场已确认</x:v>
      </x:c>
    </x:row>
    <x:row r="58" ht="36" customHeight="1">
      <x:c r="A58" s="25" t="str">
        <x:v>NFR-USAB-001</x:v>
      </x:c>
      <x:c r="B58" s="25" t="str">
        <x:v>非功能</x:v>
      </x:c>
      <x:c r="C58" s="25" t="str">
        <x:v>可用性</x:v>
      </x:c>
      <x:c r="D58" s="25" t="str">
        <x:v>工位端必须扫码优先、明确显示当前工位/工序和拒绝原因，并通过实际操作走查验证。</x:v>
      </x:c>
      <x:c r="E58" s="25" t="str">
        <x:v>Must</x:v>
      </x:c>
      <x:c r="F58" s="25" t="str">
        <x:v>未验证</x:v>
      </x:c>
      <x:c r="G58" s="25" t="str">
        <x:v>待实现/待验证</x:v>
      </x:c>
      <x:c r="H58" s="25" t="str">
        <x:v>MES项目经理</x:v>
      </x:c>
      <x:c r="I58" s="25" t="str">
        <x:v>BRS 0.1</x:v>
      </x:c>
      <x:c r="J58" s="25" t="str">
        <x:v>不得因候选路线而声称现场已确认</x:v>
      </x:c>
    </x:row>
  </x:sheetData>
  <x:mergeCells>
    <x:mergeCell ref="A1:J1"/>
    <x:mergeCell ref="A2:J2"/>
  </x:mergeCells>
  <x:dataValidations count="2">
    <x:dataValidation type="list" sqref="E5:E58">
      <x:formula1>"Must,Should,Could,Won't"</x:formula1>
    </x:dataValidation>
    <x:dataValidation type="list" sqref="F5:F58">
      <x:formula1>"未验证,已实现,技术验证通过,制造从业者评审通过,真实现场验证通过"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a5a708461d6457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0" hidden="0" customWidth="1"/>
    <x:col min="3" max="3" width="10" hidden="0" customWidth="1"/>
    <x:col min="4" max="4" width="18" hidden="0" customWidth="1"/>
    <x:col min="5" max="5" width="13" hidden="0" customWidth="1"/>
    <x:col min="6" max="6" width="24" hidden="0" customWidth="1"/>
    <x:col min="7" max="7" width="28" hidden="0" customWidth="1"/>
    <x:col min="8" max="8" width="16" hidden="0" customWidth="1"/>
  </x:cols>
  <x:sheetData>
    <x:row r="1" ht="34" customHeight="1">
      <x:c r="A1" s="21" t="str">
        <x:v>需求追踪矩阵</x:v>
      </x:c>
    </x:row>
    <x:row r="2" ht="26" customHeight="1">
      <x:c r="A2" s="22" t="str">
        <x:v>从需求到设计、阶段、测试和证据的闭环</x:v>
      </x:c>
    </x:row>
    <x:row r="4" ht="28" customHeight="1">
      <x:c r="A4" s="24" t="str">
        <x:v>需求ID</x:v>
      </x:c>
      <x:c r="B4" s="24" t="str">
        <x:v>领域</x:v>
      </x:c>
      <x:c r="C4" s="24" t="str">
        <x:v>优先级</x:v>
      </x:c>
      <x:c r="D4" s="24" t="str">
        <x:v>设计基线</x:v>
      </x:c>
      <x:c r="E4" s="24" t="str">
        <x:v>实现阶段</x:v>
      </x:c>
      <x:c r="F4" s="24" t="str">
        <x:v>测试/UAT</x:v>
      </x:c>
      <x:c r="G4" s="24" t="str">
        <x:v>证据位置</x:v>
      </x:c>
      <x:c r="H4" s="24" t="str">
        <x:v>当前结论</x:v>
      </x:c>
    </x:row>
    <x:row r="5" ht="36" customHeight="1">
      <x:c r="A5" s="25" t="str">
        <x:v>FR-MD-001</x:v>
      </x:c>
      <x:c r="B5" s="25" t="str">
        <x:v>主数据与执行快照</x:v>
      </x:c>
      <x:c r="C5" s="25" t="str">
        <x:v>Must</x:v>
      </x:c>
      <x:c r="D5" s="25" t="str">
        <x:v>BRS 6.1</x:v>
      </x:c>
      <x:c r="E5" s="25" t="str">
        <x:v>R2</x:v>
      </x:c>
      <x:c r="F5" s="25" t="str">
        <x:v>UAT-001</x:v>
      </x:c>
      <x:c r="G5" s="25" t="str">
        <x:v>待生成</x:v>
      </x:c>
      <x:c r="H5" s="25" t="str">
        <x:v>未验证</x:v>
      </x:c>
    </x:row>
    <x:row r="6" ht="36" customHeight="1">
      <x:c r="A6" s="25" t="str">
        <x:v>FR-MD-002</x:v>
      </x:c>
      <x:c r="B6" s="25" t="str">
        <x:v>主数据与执行快照</x:v>
      </x:c>
      <x:c r="C6" s="25" t="str">
        <x:v>Must</x:v>
      </x:c>
      <x:c r="D6" s="25" t="str">
        <x:v>BRS 6.1</x:v>
      </x:c>
      <x:c r="E6" s="25" t="str">
        <x:v>R2</x:v>
      </x:c>
      <x:c r="F6" s="25" t="str">
        <x:v>UAT-001</x:v>
      </x:c>
      <x:c r="G6" s="25" t="str">
        <x:v>待生成</x:v>
      </x:c>
      <x:c r="H6" s="25" t="str">
        <x:v>未验证</x:v>
      </x:c>
    </x:row>
    <x:row r="7" ht="36" customHeight="1">
      <x:c r="A7" s="25" t="str">
        <x:v>FR-MD-003</x:v>
      </x:c>
      <x:c r="B7" s="25" t="str">
        <x:v>主数据与执行快照</x:v>
      </x:c>
      <x:c r="C7" s="25" t="str">
        <x:v>Must</x:v>
      </x:c>
      <x:c r="D7" s="25" t="str">
        <x:v>BRS 6.1</x:v>
      </x:c>
      <x:c r="E7" s="25" t="str">
        <x:v>R2</x:v>
      </x:c>
      <x:c r="F7" s="25" t="str">
        <x:v>UAT-001</x:v>
      </x:c>
      <x:c r="G7" s="25" t="str">
        <x:v>待生成</x:v>
      </x:c>
      <x:c r="H7" s="25" t="str">
        <x:v>未验证</x:v>
      </x:c>
    </x:row>
    <x:row r="8" ht="36" customHeight="1">
      <x:c r="A8" s="25" t="str">
        <x:v>FR-MD-004</x:v>
      </x:c>
      <x:c r="B8" s="25" t="str">
        <x:v>主数据与执行快照</x:v>
      </x:c>
      <x:c r="C8" s="25" t="str">
        <x:v>Must</x:v>
      </x:c>
      <x:c r="D8" s="25" t="str">
        <x:v>BRS 6.1</x:v>
      </x:c>
      <x:c r="E8" s="25" t="str">
        <x:v>R2</x:v>
      </x:c>
      <x:c r="F8" s="25" t="str">
        <x:v>UAT-001</x:v>
      </x:c>
      <x:c r="G8" s="25" t="str">
        <x:v>待生成</x:v>
      </x:c>
      <x:c r="H8" s="25" t="str">
        <x:v>未验证</x:v>
      </x:c>
    </x:row>
    <x:row r="9" ht="36" customHeight="1">
      <x:c r="A9" s="25" t="str">
        <x:v>FR-PO-001</x:v>
      </x:c>
      <x:c r="B9" s="25" t="str">
        <x:v>生产订单</x:v>
      </x:c>
      <x:c r="C9" s="25" t="str">
        <x:v>Must</x:v>
      </x:c>
      <x:c r="D9" s="25" t="str">
        <x:v>BRS 6.2</x:v>
      </x:c>
      <x:c r="E9" s="25" t="str">
        <x:v>R2</x:v>
      </x:c>
      <x:c r="F9" s="25" t="str">
        <x:v>UAT-001、UAT-003、UAT-004</x:v>
      </x:c>
      <x:c r="G9" s="25" t="str">
        <x:v>待生成</x:v>
      </x:c>
      <x:c r="H9" s="25" t="str">
        <x:v>未验证</x:v>
      </x:c>
    </x:row>
    <x:row r="10" ht="36" customHeight="1">
      <x:c r="A10" s="25" t="str">
        <x:v>FR-PO-002</x:v>
      </x:c>
      <x:c r="B10" s="25" t="str">
        <x:v>生产订单</x:v>
      </x:c>
      <x:c r="C10" s="25" t="str">
        <x:v>Must</x:v>
      </x:c>
      <x:c r="D10" s="25" t="str">
        <x:v>BRS 6.2</x:v>
      </x:c>
      <x:c r="E10" s="25" t="str">
        <x:v>R2</x:v>
      </x:c>
      <x:c r="F10" s="25" t="str">
        <x:v>UAT-001、UAT-003、UAT-004</x:v>
      </x:c>
      <x:c r="G10" s="25" t="str">
        <x:v>待生成</x:v>
      </x:c>
      <x:c r="H10" s="25" t="str">
        <x:v>未验证</x:v>
      </x:c>
    </x:row>
    <x:row r="11" ht="36" customHeight="1">
      <x:c r="A11" s="25" t="str">
        <x:v>FR-PO-003</x:v>
      </x:c>
      <x:c r="B11" s="25" t="str">
        <x:v>生产订单</x:v>
      </x:c>
      <x:c r="C11" s="25" t="str">
        <x:v>Must</x:v>
      </x:c>
      <x:c r="D11" s="25" t="str">
        <x:v>BRS 6.2</x:v>
      </x:c>
      <x:c r="E11" s="25" t="str">
        <x:v>R2</x:v>
      </x:c>
      <x:c r="F11" s="25" t="str">
        <x:v>UAT-001、UAT-003、UAT-004</x:v>
      </x:c>
      <x:c r="G11" s="25" t="str">
        <x:v>待生成</x:v>
      </x:c>
      <x:c r="H11" s="25" t="str">
        <x:v>未验证</x:v>
      </x:c>
    </x:row>
    <x:row r="12" ht="36" customHeight="1">
      <x:c r="A12" s="25" t="str">
        <x:v>FR-PO-004</x:v>
      </x:c>
      <x:c r="B12" s="25" t="str">
        <x:v>生产订单</x:v>
      </x:c>
      <x:c r="C12" s="25" t="str">
        <x:v>Must</x:v>
      </x:c>
      <x:c r="D12" s="25" t="str">
        <x:v>BRS 6.2</x:v>
      </x:c>
      <x:c r="E12" s="25" t="str">
        <x:v>R2</x:v>
      </x:c>
      <x:c r="F12" s="25" t="str">
        <x:v>UAT-001、UAT-003、UAT-004</x:v>
      </x:c>
      <x:c r="G12" s="25" t="str">
        <x:v>待生成</x:v>
      </x:c>
      <x:c r="H12" s="25" t="str">
        <x:v>未验证</x:v>
      </x:c>
    </x:row>
    <x:row r="13" ht="36" customHeight="1">
      <x:c r="A13" s="25" t="str">
        <x:v>FR-PO-005</x:v>
      </x:c>
      <x:c r="B13" s="25" t="str">
        <x:v>生产订单</x:v>
      </x:c>
      <x:c r="C13" s="25" t="str">
        <x:v>Must</x:v>
      </x:c>
      <x:c r="D13" s="25" t="str">
        <x:v>BRS 6.2</x:v>
      </x:c>
      <x:c r="E13" s="25" t="str">
        <x:v>R2</x:v>
      </x:c>
      <x:c r="F13" s="25" t="str">
        <x:v>UAT-001、UAT-003、UAT-004</x:v>
      </x:c>
      <x:c r="G13" s="25" t="str">
        <x:v>待生成</x:v>
      </x:c>
      <x:c r="H13" s="25" t="str">
        <x:v>未验证</x:v>
      </x:c>
    </x:row>
    <x:row r="14" ht="36" customHeight="1">
      <x:c r="A14" s="25" t="str">
        <x:v>FR-ID-001</x:v>
      </x:c>
      <x:c r="B14" s="25" t="str">
        <x:v>产品身份</x:v>
      </x:c>
      <x:c r="C14" s="25" t="str">
        <x:v>Must</x:v>
      </x:c>
      <x:c r="D14" s="25" t="str">
        <x:v>BRS 6.3</x:v>
      </x:c>
      <x:c r="E14" s="25" t="str">
        <x:v>R2</x:v>
      </x:c>
      <x:c r="F14" s="25" t="str">
        <x:v>UAT-001</x:v>
      </x:c>
      <x:c r="G14" s="25" t="str">
        <x:v>待生成</x:v>
      </x:c>
      <x:c r="H14" s="25" t="str">
        <x:v>未验证</x:v>
      </x:c>
    </x:row>
    <x:row r="15" ht="36" customHeight="1">
      <x:c r="A15" s="25" t="str">
        <x:v>FR-ID-002</x:v>
      </x:c>
      <x:c r="B15" s="25" t="str">
        <x:v>产品身份</x:v>
      </x:c>
      <x:c r="C15" s="25" t="str">
        <x:v>Must</x:v>
      </x:c>
      <x:c r="D15" s="25" t="str">
        <x:v>BRS 6.3</x:v>
      </x:c>
      <x:c r="E15" s="25" t="str">
        <x:v>R2</x:v>
      </x:c>
      <x:c r="F15" s="25" t="str">
        <x:v>UAT-001</x:v>
      </x:c>
      <x:c r="G15" s="25" t="str">
        <x:v>待生成</x:v>
      </x:c>
      <x:c r="H15" s="25" t="str">
        <x:v>未验证</x:v>
      </x:c>
    </x:row>
    <x:row r="16" ht="36" customHeight="1">
      <x:c r="A16" s="25" t="str">
        <x:v>FR-WIP-001</x:v>
      </x:c>
      <x:c r="B16" s="25" t="str">
        <x:v>在制执行</x:v>
      </x:c>
      <x:c r="C16" s="25" t="str">
        <x:v>Must</x:v>
      </x:c>
      <x:c r="D16" s="25" t="str">
        <x:v>BRS 6.4</x:v>
      </x:c>
      <x:c r="E16" s="25" t="str">
        <x:v>R2</x:v>
      </x:c>
      <x:c r="F16" s="25" t="str">
        <x:v>UAT-001</x:v>
      </x:c>
      <x:c r="G16" s="25" t="str">
        <x:v>待生成</x:v>
      </x:c>
      <x:c r="H16" s="25" t="str">
        <x:v>未验证</x:v>
      </x:c>
    </x:row>
    <x:row r="17" ht="36" customHeight="1">
      <x:c r="A17" s="25" t="str">
        <x:v>FR-WIP-002</x:v>
      </x:c>
      <x:c r="B17" s="25" t="str">
        <x:v>在制执行</x:v>
      </x:c>
      <x:c r="C17" s="25" t="str">
        <x:v>Must</x:v>
      </x:c>
      <x:c r="D17" s="25" t="str">
        <x:v>BRS 6.4</x:v>
      </x:c>
      <x:c r="E17" s="25" t="str">
        <x:v>R2</x:v>
      </x:c>
      <x:c r="F17" s="25" t="str">
        <x:v>UAT-001</x:v>
      </x:c>
      <x:c r="G17" s="25" t="str">
        <x:v>待生成</x:v>
      </x:c>
      <x:c r="H17" s="25" t="str">
        <x:v>未验证</x:v>
      </x:c>
    </x:row>
    <x:row r="18" ht="36" customHeight="1">
      <x:c r="A18" s="25" t="str">
        <x:v>FR-WIP-003</x:v>
      </x:c>
      <x:c r="B18" s="25" t="str">
        <x:v>在制执行</x:v>
      </x:c>
      <x:c r="C18" s="25" t="str">
        <x:v>Must</x:v>
      </x:c>
      <x:c r="D18" s="25" t="str">
        <x:v>BRS 6.4</x:v>
      </x:c>
      <x:c r="E18" s="25" t="str">
        <x:v>R2</x:v>
      </x:c>
      <x:c r="F18" s="25" t="str">
        <x:v>UAT-001</x:v>
      </x:c>
      <x:c r="G18" s="25" t="str">
        <x:v>待生成</x:v>
      </x:c>
      <x:c r="H18" s="25" t="str">
        <x:v>未验证</x:v>
      </x:c>
    </x:row>
    <x:row r="19" ht="36" customHeight="1">
      <x:c r="A19" s="25" t="str">
        <x:v>FR-MAT-001</x:v>
      </x:c>
      <x:c r="B19" s="25" t="str">
        <x:v>物料执行</x:v>
      </x:c>
      <x:c r="C19" s="25" t="str">
        <x:v>Must</x:v>
      </x:c>
      <x:c r="D19" s="25" t="str">
        <x:v>BRS 6.5</x:v>
      </x:c>
      <x:c r="E19" s="25" t="str">
        <x:v>R2</x:v>
      </x:c>
      <x:c r="F19" s="25" t="str">
        <x:v>UAT-001、UAT-003</x:v>
      </x:c>
      <x:c r="G19" s="25" t="str">
        <x:v>待生成</x:v>
      </x:c>
      <x:c r="H19" s="25" t="str">
        <x:v>未验证</x:v>
      </x:c>
    </x:row>
    <x:row r="20" ht="36" customHeight="1">
      <x:c r="A20" s="25" t="str">
        <x:v>FR-MAT-002</x:v>
      </x:c>
      <x:c r="B20" s="25" t="str">
        <x:v>物料执行</x:v>
      </x:c>
      <x:c r="C20" s="25" t="str">
        <x:v>Must</x:v>
      </x:c>
      <x:c r="D20" s="25" t="str">
        <x:v>BRS 6.5</x:v>
      </x:c>
      <x:c r="E20" s="25" t="str">
        <x:v>R2</x:v>
      </x:c>
      <x:c r="F20" s="25" t="str">
        <x:v>UAT-001、UAT-003</x:v>
      </x:c>
      <x:c r="G20" s="25" t="str">
        <x:v>待生成</x:v>
      </x:c>
      <x:c r="H20" s="25" t="str">
        <x:v>未验证</x:v>
      </x:c>
    </x:row>
    <x:row r="21" ht="36" customHeight="1">
      <x:c r="A21" s="25" t="str">
        <x:v>FR-MAT-003</x:v>
      </x:c>
      <x:c r="B21" s="25" t="str">
        <x:v>物料执行</x:v>
      </x:c>
      <x:c r="C21" s="25" t="str">
        <x:v>Must</x:v>
      </x:c>
      <x:c r="D21" s="25" t="str">
        <x:v>BRS 6.5</x:v>
      </x:c>
      <x:c r="E21" s="25" t="str">
        <x:v>R2</x:v>
      </x:c>
      <x:c r="F21" s="25" t="str">
        <x:v>UAT-001、UAT-003</x:v>
      </x:c>
      <x:c r="G21" s="25" t="str">
        <x:v>待生成</x:v>
      </x:c>
      <x:c r="H21" s="25" t="str">
        <x:v>未验证</x:v>
      </x:c>
    </x:row>
    <x:row r="22" ht="36" customHeight="1">
      <x:c r="A22" s="25" t="str">
        <x:v>FR-MAT-004</x:v>
      </x:c>
      <x:c r="B22" s="25" t="str">
        <x:v>物料执行</x:v>
      </x:c>
      <x:c r="C22" s="25" t="str">
        <x:v>Must</x:v>
      </x:c>
      <x:c r="D22" s="25" t="str">
        <x:v>BRS 6.5</x:v>
      </x:c>
      <x:c r="E22" s="25" t="str">
        <x:v>R2</x:v>
      </x:c>
      <x:c r="F22" s="25" t="str">
        <x:v>UAT-001、UAT-003</x:v>
      </x:c>
      <x:c r="G22" s="25" t="str">
        <x:v>待生成</x:v>
      </x:c>
      <x:c r="H22" s="25" t="str">
        <x:v>未验证</x:v>
      </x:c>
    </x:row>
    <x:row r="23" ht="36" customHeight="1">
      <x:c r="A23" s="25" t="str">
        <x:v>FR-MAT-005</x:v>
      </x:c>
      <x:c r="B23" s="25" t="str">
        <x:v>物料执行</x:v>
      </x:c>
      <x:c r="C23" s="25" t="str">
        <x:v>Must</x:v>
      </x:c>
      <x:c r="D23" s="25" t="str">
        <x:v>BRS 6.5</x:v>
      </x:c>
      <x:c r="E23" s="25" t="str">
        <x:v>R2</x:v>
      </x:c>
      <x:c r="F23" s="25" t="str">
        <x:v>UAT-001、UAT-003</x:v>
      </x:c>
      <x:c r="G23" s="25" t="str">
        <x:v>待生成</x:v>
      </x:c>
      <x:c r="H23" s="25" t="str">
        <x:v>未验证</x:v>
      </x:c>
    </x:row>
    <x:row r="24" ht="36" customHeight="1">
      <x:c r="A24" s="25" t="str">
        <x:v>FR-FW-001</x:v>
      </x:c>
      <x:c r="B24" s="25" t="str">
        <x:v>固件与配置</x:v>
      </x:c>
      <x:c r="C24" s="25" t="str">
        <x:v>Must</x:v>
      </x:c>
      <x:c r="D24" s="25" t="str">
        <x:v>BRS 6.6</x:v>
      </x:c>
      <x:c r="E24" s="25" t="str">
        <x:v>R3</x:v>
      </x:c>
      <x:c r="F24" s="25" t="str">
        <x:v>UAT-001</x:v>
      </x:c>
      <x:c r="G24" s="25" t="str">
        <x:v>待生成</x:v>
      </x:c>
      <x:c r="H24" s="25" t="str">
        <x:v>未验证</x:v>
      </x:c>
    </x:row>
    <x:row r="25" ht="36" customHeight="1">
      <x:c r="A25" s="25" t="str">
        <x:v>FR-TEST-001</x:v>
      </x:c>
      <x:c r="B25" s="25" t="str">
        <x:v>测试执行</x:v>
      </x:c>
      <x:c r="C25" s="25" t="str">
        <x:v>Must</x:v>
      </x:c>
      <x:c r="D25" s="25" t="str">
        <x:v>BRS 6.7</x:v>
      </x:c>
      <x:c r="E25" s="25" t="str">
        <x:v>R3</x:v>
      </x:c>
      <x:c r="F25" s="25" t="str">
        <x:v>UAT-001、UAT-002</x:v>
      </x:c>
      <x:c r="G25" s="25" t="str">
        <x:v>待生成</x:v>
      </x:c>
      <x:c r="H25" s="25" t="str">
        <x:v>未验证</x:v>
      </x:c>
    </x:row>
    <x:row r="26" ht="36" customHeight="1">
      <x:c r="A26" s="25" t="str">
        <x:v>FR-TEST-002</x:v>
      </x:c>
      <x:c r="B26" s="25" t="str">
        <x:v>测试执行</x:v>
      </x:c>
      <x:c r="C26" s="25" t="str">
        <x:v>Must</x:v>
      </x:c>
      <x:c r="D26" s="25" t="str">
        <x:v>BRS 6.7</x:v>
      </x:c>
      <x:c r="E26" s="25" t="str">
        <x:v>R3</x:v>
      </x:c>
      <x:c r="F26" s="25" t="str">
        <x:v>UAT-001、UAT-002</x:v>
      </x:c>
      <x:c r="G26" s="25" t="str">
        <x:v>待生成</x:v>
      </x:c>
      <x:c r="H26" s="25" t="str">
        <x:v>未验证</x:v>
      </x:c>
    </x:row>
    <x:row r="27" ht="36" customHeight="1">
      <x:c r="A27" s="25" t="str">
        <x:v>FR-TEST-003</x:v>
      </x:c>
      <x:c r="B27" s="25" t="str">
        <x:v>测试执行</x:v>
      </x:c>
      <x:c r="C27" s="25" t="str">
        <x:v>Must</x:v>
      </x:c>
      <x:c r="D27" s="25" t="str">
        <x:v>BRS 6.7</x:v>
      </x:c>
      <x:c r="E27" s="25" t="str">
        <x:v>R3</x:v>
      </x:c>
      <x:c r="F27" s="25" t="str">
        <x:v>UAT-001、UAT-002</x:v>
      </x:c>
      <x:c r="G27" s="25" t="str">
        <x:v>待生成</x:v>
      </x:c>
      <x:c r="H27" s="25" t="str">
        <x:v>未验证</x:v>
      </x:c>
    </x:row>
    <x:row r="28" ht="36" customHeight="1">
      <x:c r="A28" s="25" t="str">
        <x:v>FR-TEST-004</x:v>
      </x:c>
      <x:c r="B28" s="25" t="str">
        <x:v>测试执行</x:v>
      </x:c>
      <x:c r="C28" s="25" t="str">
        <x:v>Must</x:v>
      </x:c>
      <x:c r="D28" s="25" t="str">
        <x:v>BRS 6.7</x:v>
      </x:c>
      <x:c r="E28" s="25" t="str">
        <x:v>R3</x:v>
      </x:c>
      <x:c r="F28" s="25" t="str">
        <x:v>UAT-001、UAT-002</x:v>
      </x:c>
      <x:c r="G28" s="25" t="str">
        <x:v>待生成</x:v>
      </x:c>
      <x:c r="H28" s="25" t="str">
        <x:v>未验证</x:v>
      </x:c>
    </x:row>
    <x:row r="29" ht="36" customHeight="1">
      <x:c r="A29" s="25" t="str">
        <x:v>FR-QA-001</x:v>
      </x:c>
      <x:c r="B29" s="25" t="str">
        <x:v>质量闭环</x:v>
      </x:c>
      <x:c r="C29" s="25" t="str">
        <x:v>Must</x:v>
      </x:c>
      <x:c r="D29" s="25" t="str">
        <x:v>BRS 6.8</x:v>
      </x:c>
      <x:c r="E29" s="25" t="str">
        <x:v>R3</x:v>
      </x:c>
      <x:c r="F29" s="25" t="str">
        <x:v>UAT-002、UAT-003</x:v>
      </x:c>
      <x:c r="G29" s="25" t="str">
        <x:v>待生成</x:v>
      </x:c>
      <x:c r="H29" s="25" t="str">
        <x:v>未验证</x:v>
      </x:c>
    </x:row>
    <x:row r="30" ht="36" customHeight="1">
      <x:c r="A30" s="25" t="str">
        <x:v>FR-QA-002</x:v>
      </x:c>
      <x:c r="B30" s="25" t="str">
        <x:v>质量闭环</x:v>
      </x:c>
      <x:c r="C30" s="25" t="str">
        <x:v>Must</x:v>
      </x:c>
      <x:c r="D30" s="25" t="str">
        <x:v>BRS 6.8</x:v>
      </x:c>
      <x:c r="E30" s="25" t="str">
        <x:v>R3</x:v>
      </x:c>
      <x:c r="F30" s="25" t="str">
        <x:v>UAT-002、UAT-003</x:v>
      </x:c>
      <x:c r="G30" s="25" t="str">
        <x:v>待生成</x:v>
      </x:c>
      <x:c r="H30" s="25" t="str">
        <x:v>未验证</x:v>
      </x:c>
    </x:row>
    <x:row r="31" ht="36" customHeight="1">
      <x:c r="A31" s="25" t="str">
        <x:v>FR-QA-003</x:v>
      </x:c>
      <x:c r="B31" s="25" t="str">
        <x:v>质量闭环</x:v>
      </x:c>
      <x:c r="C31" s="25" t="str">
        <x:v>Must</x:v>
      </x:c>
      <x:c r="D31" s="25" t="str">
        <x:v>BRS 6.8</x:v>
      </x:c>
      <x:c r="E31" s="25" t="str">
        <x:v>R3</x:v>
      </x:c>
      <x:c r="F31" s="25" t="str">
        <x:v>UAT-002、UAT-003</x:v>
      </x:c>
      <x:c r="G31" s="25" t="str">
        <x:v>待生成</x:v>
      </x:c>
      <x:c r="H31" s="25" t="str">
        <x:v>未验证</x:v>
      </x:c>
    </x:row>
    <x:row r="32" ht="36" customHeight="1">
      <x:c r="A32" s="25" t="str">
        <x:v>FR-QA-004</x:v>
      </x:c>
      <x:c r="B32" s="25" t="str">
        <x:v>质量闭环</x:v>
      </x:c>
      <x:c r="C32" s="25" t="str">
        <x:v>Must</x:v>
      </x:c>
      <x:c r="D32" s="25" t="str">
        <x:v>BRS 6.8</x:v>
      </x:c>
      <x:c r="E32" s="25" t="str">
        <x:v>R3</x:v>
      </x:c>
      <x:c r="F32" s="25" t="str">
        <x:v>UAT-002、UAT-003</x:v>
      </x:c>
      <x:c r="G32" s="25" t="str">
        <x:v>待生成</x:v>
      </x:c>
      <x:c r="H32" s="25" t="str">
        <x:v>未验证</x:v>
      </x:c>
    </x:row>
    <x:row r="33" ht="36" customHeight="1">
      <x:c r="A33" s="25" t="str">
        <x:v>FR-QA-005</x:v>
      </x:c>
      <x:c r="B33" s="25" t="str">
        <x:v>质量闭环</x:v>
      </x:c>
      <x:c r="C33" s="25" t="str">
        <x:v>Must</x:v>
      </x:c>
      <x:c r="D33" s="25" t="str">
        <x:v>BRS 6.8</x:v>
      </x:c>
      <x:c r="E33" s="25" t="str">
        <x:v>R3</x:v>
      </x:c>
      <x:c r="F33" s="25" t="str">
        <x:v>UAT-002、UAT-003</x:v>
      </x:c>
      <x:c r="G33" s="25" t="str">
        <x:v>待生成</x:v>
      </x:c>
      <x:c r="H33" s="25" t="str">
        <x:v>未验证</x:v>
      </x:c>
    </x:row>
    <x:row r="34" ht="36" customHeight="1">
      <x:c r="A34" s="25" t="str">
        <x:v>FR-CMP-001</x:v>
      </x:c>
      <x:c r="B34" s="25" t="str">
        <x:v>完工与交接</x:v>
      </x:c>
      <x:c r="C34" s="25" t="str">
        <x:v>Must</x:v>
      </x:c>
      <x:c r="D34" s="25" t="str">
        <x:v>BRS 6.9</x:v>
      </x:c>
      <x:c r="E34" s="25" t="str">
        <x:v>R3</x:v>
      </x:c>
      <x:c r="F34" s="25" t="str">
        <x:v>UAT-001、UAT-002、UAT-003、UAT-004</x:v>
      </x:c>
      <x:c r="G34" s="25" t="str">
        <x:v>待生成</x:v>
      </x:c>
      <x:c r="H34" s="25" t="str">
        <x:v>未验证</x:v>
      </x:c>
    </x:row>
    <x:row r="35" ht="36" customHeight="1">
      <x:c r="A35" s="25" t="str">
        <x:v>FR-CMP-002</x:v>
      </x:c>
      <x:c r="B35" s="25" t="str">
        <x:v>完工与交接</x:v>
      </x:c>
      <x:c r="C35" s="25" t="str">
        <x:v>Must</x:v>
      </x:c>
      <x:c r="D35" s="25" t="str">
        <x:v>BRS 6.9</x:v>
      </x:c>
      <x:c r="E35" s="25" t="str">
        <x:v>R3</x:v>
      </x:c>
      <x:c r="F35" s="25" t="str">
        <x:v>UAT-001、UAT-002、UAT-003、UAT-004</x:v>
      </x:c>
      <x:c r="G35" s="25" t="str">
        <x:v>待生成</x:v>
      </x:c>
      <x:c r="H35" s="25" t="str">
        <x:v>未验证</x:v>
      </x:c>
    </x:row>
    <x:row r="36" ht="36" customHeight="1">
      <x:c r="A36" s="25" t="str">
        <x:v>FR-TRC-001</x:v>
      </x:c>
      <x:c r="B36" s="25" t="str">
        <x:v>单件谱系</x:v>
      </x:c>
      <x:c r="C36" s="25" t="str">
        <x:v>Must</x:v>
      </x:c>
      <x:c r="D36" s="25" t="str">
        <x:v>BRS 6.10</x:v>
      </x:c>
      <x:c r="E36" s="25" t="str">
        <x:v>R3</x:v>
      </x:c>
      <x:c r="F36" s="25" t="str">
        <x:v>UAT-001、UAT-002</x:v>
      </x:c>
      <x:c r="G36" s="25" t="str">
        <x:v>待生成</x:v>
      </x:c>
      <x:c r="H36" s="25" t="str">
        <x:v>未验证</x:v>
      </x:c>
    </x:row>
    <x:row r="37" ht="36" customHeight="1">
      <x:c r="A37" s="25" t="str">
        <x:v>FR-TRC-002</x:v>
      </x:c>
      <x:c r="B37" s="25" t="str">
        <x:v>单件谱系</x:v>
      </x:c>
      <x:c r="C37" s="25" t="str">
        <x:v>Must</x:v>
      </x:c>
      <x:c r="D37" s="25" t="str">
        <x:v>BRS 6.10</x:v>
      </x:c>
      <x:c r="E37" s="25" t="str">
        <x:v>R3</x:v>
      </x:c>
      <x:c r="F37" s="25" t="str">
        <x:v>UAT-001、UAT-002</x:v>
      </x:c>
      <x:c r="G37" s="25" t="str">
        <x:v>待生成</x:v>
      </x:c>
      <x:c r="H37" s="25" t="str">
        <x:v>未验证</x:v>
      </x:c>
    </x:row>
    <x:row r="38" ht="36" customHeight="1">
      <x:c r="A38" s="25" t="str">
        <x:v>FR-TRC-003</x:v>
      </x:c>
      <x:c r="B38" s="25" t="str">
        <x:v>单件谱系</x:v>
      </x:c>
      <x:c r="C38" s="25" t="str">
        <x:v>Must</x:v>
      </x:c>
      <x:c r="D38" s="25" t="str">
        <x:v>BRS 6.10</x:v>
      </x:c>
      <x:c r="E38" s="25" t="str">
        <x:v>R3</x:v>
      </x:c>
      <x:c r="F38" s="25" t="str">
        <x:v>UAT-001、UAT-002</x:v>
      </x:c>
      <x:c r="G38" s="25" t="str">
        <x:v>待生成</x:v>
      </x:c>
      <x:c r="H38" s="25" t="str">
        <x:v>未验证</x:v>
      </x:c>
    </x:row>
    <x:row r="39" ht="36" customHeight="1">
      <x:c r="A39" s="25" t="str">
        <x:v>FR-INT-001</x:v>
      </x:c>
      <x:c r="B39" s="25" t="str">
        <x:v>企业集成</x:v>
      </x:c>
      <x:c r="C39" s="25" t="str">
        <x:v>Must</x:v>
      </x:c>
      <x:c r="D39" s="25" t="str">
        <x:v>BRS 6.11</x:v>
      </x:c>
      <x:c r="E39" s="25" t="str">
        <x:v>R4</x:v>
      </x:c>
      <x:c r="F39" s="25" t="str">
        <x:v>UAT-004</x:v>
      </x:c>
      <x:c r="G39" s="25" t="str">
        <x:v>待生成</x:v>
      </x:c>
      <x:c r="H39" s="25" t="str">
        <x:v>未验证</x:v>
      </x:c>
    </x:row>
    <x:row r="40" ht="36" customHeight="1">
      <x:c r="A40" s="25" t="str">
        <x:v>FR-INT-002</x:v>
      </x:c>
      <x:c r="B40" s="25" t="str">
        <x:v>企业集成</x:v>
      </x:c>
      <x:c r="C40" s="25" t="str">
        <x:v>Must</x:v>
      </x:c>
      <x:c r="D40" s="25" t="str">
        <x:v>BRS 6.11</x:v>
      </x:c>
      <x:c r="E40" s="25" t="str">
        <x:v>R4</x:v>
      </x:c>
      <x:c r="F40" s="25" t="str">
        <x:v>UAT-004</x:v>
      </x:c>
      <x:c r="G40" s="25" t="str">
        <x:v>待生成</x:v>
      </x:c>
      <x:c r="H40" s="25" t="str">
        <x:v>未验证</x:v>
      </x:c>
    </x:row>
    <x:row r="41" ht="36" customHeight="1">
      <x:c r="A41" s="25" t="str">
        <x:v>FR-INT-003</x:v>
      </x:c>
      <x:c r="B41" s="25" t="str">
        <x:v>企业集成</x:v>
      </x:c>
      <x:c r="C41" s="25" t="str">
        <x:v>Must</x:v>
      </x:c>
      <x:c r="D41" s="25" t="str">
        <x:v>BRS 6.11</x:v>
      </x:c>
      <x:c r="E41" s="25" t="str">
        <x:v>R4</x:v>
      </x:c>
      <x:c r="F41" s="25" t="str">
        <x:v>UAT-004</x:v>
      </x:c>
      <x:c r="G41" s="25" t="str">
        <x:v>待生成</x:v>
      </x:c>
      <x:c r="H41" s="25" t="str">
        <x:v>未验证</x:v>
      </x:c>
    </x:row>
    <x:row r="42" ht="36" customHeight="1">
      <x:c r="A42" s="25" t="str">
        <x:v>FR-INT-004</x:v>
      </x:c>
      <x:c r="B42" s="25" t="str">
        <x:v>企业集成</x:v>
      </x:c>
      <x:c r="C42" s="25" t="str">
        <x:v>Must</x:v>
      </x:c>
      <x:c r="D42" s="25" t="str">
        <x:v>BRS 6.11</x:v>
      </x:c>
      <x:c r="E42" s="25" t="str">
        <x:v>R4</x:v>
      </x:c>
      <x:c r="F42" s="25" t="str">
        <x:v>UAT-004</x:v>
      </x:c>
      <x:c r="G42" s="25" t="str">
        <x:v>待生成</x:v>
      </x:c>
      <x:c r="H42" s="25" t="str">
        <x:v>未验证</x:v>
      </x:c>
    </x:row>
    <x:row r="43" ht="36" customHeight="1">
      <x:c r="A43" s="25" t="str">
        <x:v>FR-INT-005</x:v>
      </x:c>
      <x:c r="B43" s="25" t="str">
        <x:v>企业集成</x:v>
      </x:c>
      <x:c r="C43" s="25" t="str">
        <x:v>Must</x:v>
      </x:c>
      <x:c r="D43" s="25" t="str">
        <x:v>BRS 6.11</x:v>
      </x:c>
      <x:c r="E43" s="25" t="str">
        <x:v>R4</x:v>
      </x:c>
      <x:c r="F43" s="25" t="str">
        <x:v>UAT-004</x:v>
      </x:c>
      <x:c r="G43" s="25" t="str">
        <x:v>待生成</x:v>
      </x:c>
      <x:c r="H43" s="25" t="str">
        <x:v>未验证</x:v>
      </x:c>
    </x:row>
    <x:row r="44" ht="36" customHeight="1">
      <x:c r="A44" s="25" t="str">
        <x:v>FR-SEC-001</x:v>
      </x:c>
      <x:c r="B44" s="25" t="str">
        <x:v>权限与安全</x:v>
      </x:c>
      <x:c r="C44" s="25" t="str">
        <x:v>Must</x:v>
      </x:c>
      <x:c r="D44" s="25" t="str">
        <x:v>BRS 6.12</x:v>
      </x:c>
      <x:c r="E44" s="25" t="str">
        <x:v>R1/R6</x:v>
      </x:c>
      <x:c r="F44" s="25" t="str">
        <x:v>UAT-002</x:v>
      </x:c>
      <x:c r="G44" s="25" t="str">
        <x:v>待生成</x:v>
      </x:c>
      <x:c r="H44" s="25" t="str">
        <x:v>未验证</x:v>
      </x:c>
    </x:row>
    <x:row r="45" ht="36" customHeight="1">
      <x:c r="A45" s="25" t="str">
        <x:v>FR-SEC-002</x:v>
      </x:c>
      <x:c r="B45" s="25" t="str">
        <x:v>权限与安全</x:v>
      </x:c>
      <x:c r="C45" s="25" t="str">
        <x:v>Must</x:v>
      </x:c>
      <x:c r="D45" s="25" t="str">
        <x:v>BRS 6.12</x:v>
      </x:c>
      <x:c r="E45" s="25" t="str">
        <x:v>R1/R6</x:v>
      </x:c>
      <x:c r="F45" s="25" t="str">
        <x:v>UAT-002</x:v>
      </x:c>
      <x:c r="G45" s="25" t="str">
        <x:v>待生成</x:v>
      </x:c>
      <x:c r="H45" s="25" t="str">
        <x:v>未验证</x:v>
      </x:c>
    </x:row>
    <x:row r="46" ht="36" customHeight="1">
      <x:c r="A46" s="25" t="str">
        <x:v>FR-AUD-001</x:v>
      </x:c>
      <x:c r="B46" s="25" t="str">
        <x:v>审计</x:v>
      </x:c>
      <x:c r="C46" s="25" t="str">
        <x:v>Must</x:v>
      </x:c>
      <x:c r="D46" s="25" t="str">
        <x:v>BRS 6.13</x:v>
      </x:c>
      <x:c r="E46" s="25" t="str">
        <x:v>R5</x:v>
      </x:c>
      <x:c r="F46" s="25" t="str">
        <x:v>技术测试/待补充</x:v>
      </x:c>
      <x:c r="G46" s="25" t="str">
        <x:v>待生成</x:v>
      </x:c>
      <x:c r="H46" s="25" t="str">
        <x:v>未验证</x:v>
      </x:c>
    </x:row>
    <x:row r="47" ht="36" customHeight="1">
      <x:c r="A47" s="25" t="str">
        <x:v>FR-OPS-001</x:v>
      </x:c>
      <x:c r="B47" s="25" t="str">
        <x:v>运营查询</x:v>
      </x:c>
      <x:c r="C47" s="25" t="str">
        <x:v>Must</x:v>
      </x:c>
      <x:c r="D47" s="25" t="str">
        <x:v>BRS 6.14</x:v>
      </x:c>
      <x:c r="E47" s="25" t="str">
        <x:v>R5</x:v>
      </x:c>
      <x:c r="F47" s="25" t="str">
        <x:v>技术测试/待补充</x:v>
      </x:c>
      <x:c r="G47" s="25" t="str">
        <x:v>待生成</x:v>
      </x:c>
      <x:c r="H47" s="25" t="str">
        <x:v>未验证</x:v>
      </x:c>
    </x:row>
    <x:row r="48" ht="36" customHeight="1">
      <x:c r="A48" s="25" t="str">
        <x:v>FR-OPS-002</x:v>
      </x:c>
      <x:c r="B48" s="25" t="str">
        <x:v>运营查询</x:v>
      </x:c>
      <x:c r="C48" s="25" t="str">
        <x:v>Must</x:v>
      </x:c>
      <x:c r="D48" s="25" t="str">
        <x:v>BRS 6.14</x:v>
      </x:c>
      <x:c r="E48" s="25" t="str">
        <x:v>R5</x:v>
      </x:c>
      <x:c r="F48" s="25" t="str">
        <x:v>技术测试/待补充</x:v>
      </x:c>
      <x:c r="G48" s="25" t="str">
        <x:v>待生成</x:v>
      </x:c>
      <x:c r="H48" s="25" t="str">
        <x:v>未验证</x:v>
      </x:c>
    </x:row>
    <x:row r="49" ht="36" customHeight="1">
      <x:c r="A49" s="25" t="str">
        <x:v>NFR-DATA-001</x:v>
      </x:c>
      <x:c r="B49" s="25" t="str">
        <x:v>数据一致性</x:v>
      </x:c>
      <x:c r="C49" s="25" t="str">
        <x:v>Must</x:v>
      </x:c>
      <x:c r="D49" s="25" t="str">
        <x:v>BRS 6.15</x:v>
      </x:c>
      <x:c r="E49" s="25" t="str">
        <x:v>R2</x:v>
      </x:c>
      <x:c r="F49" s="25" t="str">
        <x:v>技术测试/待补充</x:v>
      </x:c>
      <x:c r="G49" s="25" t="str">
        <x:v>待生成</x:v>
      </x:c>
      <x:c r="H49" s="25" t="str">
        <x:v>未验证</x:v>
      </x:c>
    </x:row>
    <x:row r="50" ht="36" customHeight="1">
      <x:c r="A50" s="25" t="str">
        <x:v>NFR-CONS-001</x:v>
      </x:c>
      <x:c r="B50" s="25" t="str">
        <x:v>事务一致性</x:v>
      </x:c>
      <x:c r="C50" s="25" t="str">
        <x:v>Must</x:v>
      </x:c>
      <x:c r="D50" s="25" t="str">
        <x:v>BRS 6.16</x:v>
      </x:c>
      <x:c r="E50" s="25" t="str">
        <x:v>R2</x:v>
      </x:c>
      <x:c r="F50" s="25" t="str">
        <x:v>技术测试/待补充</x:v>
      </x:c>
      <x:c r="G50" s="25" t="str">
        <x:v>待生成</x:v>
      </x:c>
      <x:c r="H50" s="25" t="str">
        <x:v>未验证</x:v>
      </x:c>
    </x:row>
    <x:row r="51" ht="36" customHeight="1">
      <x:c r="A51" s="25" t="str">
        <x:v>NFR-DB-001</x:v>
      </x:c>
      <x:c r="B51" s="25" t="str">
        <x:v>数据库演进</x:v>
      </x:c>
      <x:c r="C51" s="25" t="str">
        <x:v>Must</x:v>
      </x:c>
      <x:c r="D51" s="25" t="str">
        <x:v>BRS 6.17</x:v>
      </x:c>
      <x:c r="E51" s="25" t="str">
        <x:v>R1/R6</x:v>
      </x:c>
      <x:c r="F51" s="25" t="str">
        <x:v>技术测试/待补充</x:v>
      </x:c>
      <x:c r="G51" s="25" t="str">
        <x:v>待生成</x:v>
      </x:c>
      <x:c r="H51" s="25" t="str">
        <x:v>未验证</x:v>
      </x:c>
    </x:row>
    <x:row r="52" ht="36" customHeight="1">
      <x:c r="A52" s="25" t="str">
        <x:v>NFR-TEST-001</x:v>
      </x:c>
      <x:c r="B52" s="25" t="str">
        <x:v>测试执行</x:v>
      </x:c>
      <x:c r="C52" s="25" t="str">
        <x:v>Must</x:v>
      </x:c>
      <x:c r="D52" s="25" t="str">
        <x:v>BRS 6.7</x:v>
      </x:c>
      <x:c r="E52" s="25" t="str">
        <x:v>R3</x:v>
      </x:c>
      <x:c r="F52" s="25" t="str">
        <x:v>技术测试/待补充</x:v>
      </x:c>
      <x:c r="G52" s="25" t="str">
        <x:v>待生成</x:v>
      </x:c>
      <x:c r="H52" s="25" t="str">
        <x:v>未验证</x:v>
      </x:c>
    </x:row>
    <x:row r="53" ht="36" customHeight="1">
      <x:c r="A53" s="25" t="str">
        <x:v>NFR-SEC-001</x:v>
      </x:c>
      <x:c r="B53" s="25" t="str">
        <x:v>权限与安全</x:v>
      </x:c>
      <x:c r="C53" s="25" t="str">
        <x:v>Must</x:v>
      </x:c>
      <x:c r="D53" s="25" t="str">
        <x:v>BRS 6.12</x:v>
      </x:c>
      <x:c r="E53" s="25" t="str">
        <x:v>R1/R6</x:v>
      </x:c>
      <x:c r="F53" s="25" t="str">
        <x:v>技术测试/待补充</x:v>
      </x:c>
      <x:c r="G53" s="25" t="str">
        <x:v>待生成</x:v>
      </x:c>
      <x:c r="H53" s="25" t="str">
        <x:v>未验证</x:v>
      </x:c>
    </x:row>
    <x:row r="54" ht="36" customHeight="1">
      <x:c r="A54" s="25" t="str">
        <x:v>NFR-OPS-001</x:v>
      </x:c>
      <x:c r="B54" s="25" t="str">
        <x:v>运营查询</x:v>
      </x:c>
      <x:c r="C54" s="25" t="str">
        <x:v>Must</x:v>
      </x:c>
      <x:c r="D54" s="25" t="str">
        <x:v>BRS 6.14</x:v>
      </x:c>
      <x:c r="E54" s="25" t="str">
        <x:v>R5</x:v>
      </x:c>
      <x:c r="F54" s="25" t="str">
        <x:v>技术测试/待补充</x:v>
      </x:c>
      <x:c r="G54" s="25" t="str">
        <x:v>待生成</x:v>
      </x:c>
      <x:c r="H54" s="25" t="str">
        <x:v>未验证</x:v>
      </x:c>
    </x:row>
    <x:row r="55" ht="36" customHeight="1">
      <x:c r="A55" s="25" t="str">
        <x:v>NFR-REC-001</x:v>
      </x:c>
      <x:c r="B55" s="25" t="str">
        <x:v>恢复能力</x:v>
      </x:c>
      <x:c r="C55" s="25" t="str">
        <x:v>Must</x:v>
      </x:c>
      <x:c r="D55" s="25" t="str">
        <x:v>BRS 6.18</x:v>
      </x:c>
      <x:c r="E55" s="25" t="str">
        <x:v>R6</x:v>
      </x:c>
      <x:c r="F55" s="25" t="str">
        <x:v>技术测试/待补充</x:v>
      </x:c>
      <x:c r="G55" s="25" t="str">
        <x:v>待生成</x:v>
      </x:c>
      <x:c r="H55" s="25" t="str">
        <x:v>未验证</x:v>
      </x:c>
    </x:row>
    <x:row r="56" ht="36" customHeight="1">
      <x:c r="A56" s="25" t="str">
        <x:v>NFR-PERF-001</x:v>
      </x:c>
      <x:c r="B56" s="25" t="str">
        <x:v>性能</x:v>
      </x:c>
      <x:c r="C56" s="25" t="str">
        <x:v>Must</x:v>
      </x:c>
      <x:c r="D56" s="25" t="str">
        <x:v>BRS 6.19</x:v>
      </x:c>
      <x:c r="E56" s="25" t="str">
        <x:v>R5</x:v>
      </x:c>
      <x:c r="F56" s="25" t="str">
        <x:v>技术测试/待补充</x:v>
      </x:c>
      <x:c r="G56" s="25" t="str">
        <x:v>待生成</x:v>
      </x:c>
      <x:c r="H56" s="25" t="str">
        <x:v>未验证</x:v>
      </x:c>
    </x:row>
    <x:row r="57" ht="36" customHeight="1">
      <x:c r="A57" s="25" t="str">
        <x:v>NFR-RET-001</x:v>
      </x:c>
      <x:c r="B57" s="25" t="str">
        <x:v>数据保留</x:v>
      </x:c>
      <x:c r="C57" s="25" t="str">
        <x:v>Must</x:v>
      </x:c>
      <x:c r="D57" s="25" t="str">
        <x:v>BRS 6.20</x:v>
      </x:c>
      <x:c r="E57" s="25" t="str">
        <x:v>R6</x:v>
      </x:c>
      <x:c r="F57" s="25" t="str">
        <x:v>技术测试/待补充</x:v>
      </x:c>
      <x:c r="G57" s="25" t="str">
        <x:v>待生成</x:v>
      </x:c>
      <x:c r="H57" s="25" t="str">
        <x:v>未验证</x:v>
      </x:c>
    </x:row>
    <x:row r="58" ht="36" customHeight="1">
      <x:c r="A58" s="25" t="str">
        <x:v>NFR-USAB-001</x:v>
      </x:c>
      <x:c r="B58" s="25" t="str">
        <x:v>可用性</x:v>
      </x:c>
      <x:c r="C58" s="25" t="str">
        <x:v>Must</x:v>
      </x:c>
      <x:c r="D58" s="25" t="str">
        <x:v>BRS 6.21</x:v>
      </x:c>
      <x:c r="E58" s="25" t="str">
        <x:v>R5</x:v>
      </x:c>
      <x:c r="F58" s="25" t="str">
        <x:v>技术测试/待补充</x:v>
      </x:c>
      <x:c r="G58" s="25" t="str">
        <x:v>待生成</x:v>
      </x:c>
      <x:c r="H58" s="25" t="str">
        <x:v>未验证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eb35ea88a67648c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8" hidden="0" customWidth="1"/>
    <x:col min="3" max="3" width="42" hidden="0" customWidth="1"/>
    <x:col min="4" max="4" width="42" hidden="0" customWidth="1"/>
    <x:col min="5" max="5" width="12" hidden="0" customWidth="1"/>
    <x:col min="6" max="6" width="12" hidden="0" customWidth="1"/>
    <x:col min="7" max="7" width="38" hidden="0" customWidth="1"/>
    <x:col min="8" max="8" width="12" hidden="0" customWidth="1"/>
    <x:col min="9" max="9" width="16" hidden="0" customWidth="1"/>
    <x:col min="10" max="10" width="30" hidden="0" customWidth="1"/>
  </x:cols>
  <x:sheetData>
    <x:row r="1" ht="34" customHeight="1">
      <x:c r="A1" s="21" t="str">
        <x:v>Fit-Gap 分析</x:v>
      </x:c>
    </x:row>
    <x:row r="2" ht="26" customHeight="1">
      <x:c r="A2" s="22" t="str">
        <x:v>区分系统缺口、部分能力和必须依赖现场确认的外部缺口</x:v>
      </x:c>
    </x:row>
    <x:row r="4" ht="28" customHeight="1">
      <x:c r="A4" s="24" t="str">
        <x:v>编号</x:v>
      </x:c>
      <x:c r="B4" s="24" t="str">
        <x:v>能力</x:v>
      </x:c>
      <x:c r="C4" s="24" t="str">
        <x:v>当前评估</x:v>
      </x:c>
      <x:c r="D4" s="24" t="str">
        <x:v>目标能力</x:v>
      </x:c>
      <x:c r="E4" s="24" t="str">
        <x:v>类型</x:v>
      </x:c>
      <x:c r="F4" s="24" t="str">
        <x:v>优先级</x:v>
      </x:c>
      <x:c r="G4" s="24" t="str">
        <x:v>处理策略</x:v>
      </x:c>
      <x:c r="H4" s="24" t="str">
        <x:v>阶段</x:v>
      </x:c>
      <x:c r="I4" s="24" t="str">
        <x:v>责任人</x:v>
      </x:c>
      <x:c r="J4" s="24" t="str">
        <x:v>验证方式</x:v>
      </x:c>
    </x:row>
    <x:row r="5" ht="36" customHeight="1">
      <x:c r="A5" s="25" t="str">
        <x:v>FG-001</x:v>
      </x:c>
      <x:c r="B5" s="25" t="str">
        <x:v>执行快照</x:v>
      </x:c>
      <x:c r="C5" s="25" t="str">
        <x:v>当前订单仅保存 BOM/路线 ID 与版本字符串</x:v>
      </x:c>
      <x:c r="D5" s="25" t="str">
        <x:v>下达时冻结自包含执行依据</x:v>
      </x:c>
      <x:c r="E5" s="25" t="str">
        <x:v>Gap</x:v>
      </x:c>
      <x:c r="F5" s="25" t="str">
        <x:v>Critical</x:v>
      </x:c>
      <x:c r="G5" s="25" t="str">
        <x:v>纵向切片替换，旧订单只读</x:v>
      </x:c>
      <x:c r="H5" s="25" t="str">
        <x:v>R2</x:v>
      </x:c>
      <x:c r="I5" s="25" t="str">
        <x:v>开发测试</x:v>
      </x:c>
      <x:c r="J5" s="25" t="str">
        <x:v>SQL Server 集成测试</x:v>
      </x:c>
    </x:row>
    <x:row r="6" ht="36" customHeight="1">
      <x:c r="A6" s="25" t="str">
        <x:v>FG-002</x:v>
      </x:c>
      <x:c r="B6" s="25" t="str">
        <x:v>制造事件</x:v>
      </x:c>
      <x:c r="C6" s="25" t="str">
        <x:v>现有追溯聚合于部件绑定和状态记录</x:v>
      </x:c>
      <x:c r="D6" s="25" t="str">
        <x:v>只追加、类型化制造事件与可解释查询</x:v>
      </x:c>
      <x:c r="E6" s="25" t="str">
        <x:v>Gap</x:v>
      </x:c>
      <x:c r="F6" s="25" t="str">
        <x:v>Critical</x:v>
      </x:c>
      <x:c r="G6" s="25" t="str">
        <x:v>先建事件契约，再迁移核心流程</x:v>
      </x:c>
      <x:c r="H6" s="25" t="str">
        <x:v>R2</x:v>
      </x:c>
      <x:c r="I6" s="25" t="str">
        <x:v>开发测试</x:v>
      </x:c>
      <x:c r="J6" s="25" t="str">
        <x:v>固定 SN 谱系复现</x:v>
      </x:c>
    </x:row>
    <x:row r="7" ht="36" customHeight="1">
      <x:c r="A7" s="25" t="str">
        <x:v>FG-003</x:v>
      </x:c>
      <x:c r="B7" s="25" t="str">
        <x:v>物料事务</x:v>
      </x:c>
      <x:c r="C7" s="25" t="str">
        <x:v>发料直接影响库存并混同耗用</x:v>
      </x:c>
      <x:c r="D7" s="25" t="str">
        <x:v>交接、发料、耗用、退料、冲正分账</x:v>
      </x:c>
      <x:c r="E7" s="25" t="str">
        <x:v>Gap</x:v>
      </x:c>
      <x:c r="F7" s="25" t="str">
        <x:v>Critical</x:v>
      </x:c>
      <x:c r="G7" s="25" t="str">
        <x:v>引入事务账和可用量投影</x:v>
      </x:c>
      <x:c r="H7" s="25" t="str">
        <x:v>R2</x:v>
      </x:c>
      <x:c r="I7" s="25" t="str">
        <x:v>物料/开发</x:v>
      </x:c>
      <x:c r="J7" s="25" t="str">
        <x:v>数量平衡与冲正</x:v>
      </x:c>
    </x:row>
    <x:row r="8" ht="36" customHeight="1">
      <x:c r="A8" s="25" t="str">
        <x:v>FG-004</x:v>
      </x:c>
      <x:c r="B8" s="25" t="str">
        <x:v>测试与复测</x:v>
      </x:c>
      <x:c r="C8" s="25" t="str">
        <x:v>失败、放行和当前状态存在覆盖风险</x:v>
      </x:c>
      <x:c r="D8" s="25" t="str">
        <x:v>测试规范版本化；每次执行与测量独立保留</x:v>
      </x:c>
      <x:c r="E8" s="25" t="str">
        <x:v>Gap</x:v>
      </x:c>
      <x:c r="F8" s="25" t="str">
        <x:v>Critical</x:v>
      </x:c>
      <x:c r="G8" s="25" t="str">
        <x:v>新测试域模型优先</x:v>
      </x:c>
      <x:c r="H8" s="25" t="str">
        <x:v>R3</x:v>
      </x:c>
      <x:c r="I8" s="25" t="str">
        <x:v>质量/开发</x:v>
      </x:c>
      <x:c r="J8" s="25" t="str">
        <x:v>失败-返工-复测场景</x:v>
      </x:c>
    </x:row>
    <x:row r="9" ht="36" customHeight="1">
      <x:c r="A9" s="25" t="str">
        <x:v>FG-005</x:v>
      </x:c>
      <x:c r="B9" s="25" t="str">
        <x:v>质量处置</x:v>
      </x:c>
      <x:c r="C9" s="25" t="str">
        <x:v>不合格、保留、处置和返工边界不清</x:v>
      </x:c>
      <x:c r="D9" s="25" t="str">
        <x:v>职责分离的质量保留与处置闭环</x:v>
      </x:c>
      <x:c r="E9" s="25" t="str">
        <x:v>Gap</x:v>
      </x:c>
      <x:c r="F9" s="25" t="str">
        <x:v>Critical</x:v>
      </x:c>
      <x:c r="G9" s="25" t="str">
        <x:v>建立独立不合格与处置对象</x:v>
      </x:c>
      <x:c r="H9" s="25" t="str">
        <x:v>R3</x:v>
      </x:c>
      <x:c r="I9" s="25" t="str">
        <x:v>质量/开发</x:v>
      </x:c>
      <x:c r="J9" s="25" t="str">
        <x:v>负向权限与门禁</x:v>
      </x:c>
    </x:row>
    <x:row r="10" ht="36" customHeight="1">
      <x:c r="A10" s="25" t="str">
        <x:v>FG-006</x:v>
      </x:c>
      <x:c r="B10" s="25" t="str">
        <x:v>ERP 集成</x:v>
      </x:c>
      <x:c r="C10" s="25" t="str">
        <x:v>当前模拟发送可被误解为成功</x:v>
      </x:c>
      <x:c r="D10" s="25" t="str">
        <x:v>Inbox/Outbox、重试、死信、回执与对账</x:v>
      </x:c>
      <x:c r="E10" s="25" t="str">
        <x:v>Gap</x:v>
      </x:c>
      <x:c r="F10" s="25" t="str">
        <x:v>Critical</x:v>
      </x:c>
      <x:c r="G10" s="25" t="str">
        <x:v>模拟器走正式契约</x:v>
      </x:c>
      <x:c r="H10" s="25" t="str">
        <x:v>R4</x:v>
      </x:c>
      <x:c r="I10" s="25" t="str">
        <x:v>ERP/IT</x:v>
      </x:c>
      <x:c r="J10" s="25" t="str">
        <x:v>重复、失败与恢复</x:v>
      </x:c>
    </x:row>
    <x:row r="11" ht="36" customHeight="1">
      <x:c r="A11" s="25" t="str">
        <x:v>FG-007</x:v>
      </x:c>
      <x:c r="B11" s="25" t="str">
        <x:v>数据库演进</x:v>
      </x:c>
      <x:c r="C11" s="25" t="str">
        <x:v>EnsureCreated 与自动建库缺少升级路径</x:v>
      </x:c>
      <x:c r="D11" s="25" t="str">
        <x:v>EF Migration 与真实 SQL Server 新装/升级</x:v>
      </x:c>
      <x:c r="E11" s="25" t="str">
        <x:v>Gap</x:v>
      </x:c>
      <x:c r="F11" s="25" t="str">
        <x:v>Critical</x:v>
      </x:c>
      <x:c r="G11" s="25" t="str">
        <x:v>R1 先清除数据库风险</x:v>
      </x:c>
      <x:c r="H11" s="25" t="str">
        <x:v>R1</x:v>
      </x:c>
      <x:c r="I11" s="25" t="str">
        <x:v>开发测试</x:v>
      </x:c>
      <x:c r="J11" s="25" t="str">
        <x:v>空库和带数据升级</x:v>
      </x:c>
    </x:row>
    <x:row r="12" ht="36" customHeight="1">
      <x:c r="A12" s="25" t="str">
        <x:v>FG-008</x:v>
      </x:c>
      <x:c r="B12" s="25" t="str">
        <x:v>生产安全</x:v>
      </x:c>
      <x:c r="C12" s="25" t="str">
        <x:v>Compose 存在硬编码密钥和 Development 配置</x:v>
      </x:c>
      <x:c r="D12" s="25" t="str">
        <x:v>HTTPS、外置密钥、最小权限和启动门禁</x:v>
      </x:c>
      <x:c r="E12" s="25" t="str">
        <x:v>Gap</x:v>
      </x:c>
      <x:c r="F12" s="25" t="str">
        <x:v>Critical</x:v>
      </x:c>
      <x:c r="G12" s="25" t="str">
        <x:v>生产配置拒绝不安全启动</x:v>
      </x:c>
      <x:c r="H12" s="25" t="str">
        <x:v>R1/R6</x:v>
      </x:c>
      <x:c r="I12" s="25" t="str">
        <x:v>ERP/IT</x:v>
      </x:c>
      <x:c r="J12" s="25" t="str">
        <x:v>部署与安全检查</x:v>
      </x:c>
    </x:row>
    <x:row r="13" ht="36" customHeight="1">
      <x:c r="A13" s="25" t="str">
        <x:v>FG-009</x:v>
      </x:c>
      <x:c r="B13" s="25" t="str">
        <x:v>一线工作流</x:v>
      </x:c>
      <x:c r="C13" s="25" t="str">
        <x:v>功能存在但页面可能按 API 菜单组织</x:v>
      </x:c>
      <x:c r="D13" s="25" t="str">
        <x:v>计划、工位、质量、追溯四条任务流</x:v>
      </x:c>
      <x:c r="E13" s="25" t="str">
        <x:v>Partial</x:v>
      </x:c>
      <x:c r="F13" s="25" t="str">
        <x:v>Major</x:v>
      </x:c>
      <x:c r="G13" s="25" t="str">
        <x:v>R5 前冻结非核心 UI</x:v>
      </x:c>
      <x:c r="H13" s="25" t="str">
        <x:v>R5</x:v>
      </x:c>
      <x:c r="I13" s="25" t="str">
        <x:v>开发测试</x:v>
      </x:c>
      <x:c r="J13" s="25" t="str">
        <x:v>浏览器 E2E 与视觉 QA</x:v>
      </x:c>
    </x:row>
    <x:row r="14" ht="36" customHeight="1">
      <x:c r="A14" s="25" t="str">
        <x:v>FG-010</x:v>
      </x:c>
      <x:c r="B14" s="25" t="str">
        <x:v>现场可信度</x:v>
      </x:c>
      <x:c r="C14" s="25" t="str">
        <x:v>公开资料可支撑边界，不能证明真实工序</x:v>
      </x:c>
      <x:c r="D14" s="25" t="str">
        <x:v>制造从业者评审和真实现场验证</x:v>
      </x:c>
      <x:c r="E14" s="25" t="str">
        <x:v>External</x:v>
      </x:c>
      <x:c r="F14" s="25" t="str">
        <x:v>Critical</x:v>
      </x:c>
      <x:c r="G14" s="25" t="str">
        <x:v>证据分级，不补造客户事实</x:v>
      </x:c>
      <x:c r="H14" s="25" t="str">
        <x:v>R0-R6</x:v>
      </x:c>
      <x:c r="I14" s="25" t="str">
        <x:v>MES项目经理</x:v>
      </x:c>
      <x:c r="J14" s="25" t="str">
        <x:v>评审纪要和现场签字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97b74ca575a847b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</x:cols>
  <x:sheetData>
    <x:row r="1" ht="34" customHeight="1">
      <x:c r="A1" s="21" t="str">
        <x:v>RACI 责任矩阵</x:v>
      </x:c>
    </x:row>
    <x:row r="2" ht="26" customHeight="1">
      <x:c r="A2" s="22" t="str">
        <x:v>R=负责执行，A=最终负责，C=征询，I=知会</x:v>
      </x:c>
    </x:row>
    <x:row r="4" ht="28" customHeight="1">
      <x:c r="A4" s="24" t="str">
        <x:v>活动</x:v>
      </x:c>
      <x:c r="B4" s="24" t="str">
        <x:v>项目发起人</x:v>
      </x:c>
      <x:c r="C4" s="24" t="str">
        <x:v>客户项目经理</x:v>
      </x:c>
      <x:c r="D4" s="24" t="str">
        <x:v>MES项目经理</x:v>
      </x:c>
      <x:c r="E4" s="24" t="str">
        <x:v>计划</x:v>
      </x:c>
      <x:c r="F4" s="24" t="str">
        <x:v>工艺</x:v>
      </x:c>
      <x:c r="G4" s="24" t="str">
        <x:v>质量</x:v>
      </x:c>
      <x:c r="H4" s="24" t="str">
        <x:v>物料</x:v>
      </x:c>
      <x:c r="I4" s="24" t="str">
        <x:v>ERP/IT</x:v>
      </x:c>
      <x:c r="J4" s="24" t="str">
        <x:v>开发测试</x:v>
      </x:c>
    </x:row>
    <x:row r="5" ht="36" customHeight="1">
      <x:c r="A5" s="25" t="str">
        <x:v>项目章程与范围批准</x:v>
      </x:c>
      <x:c r="B5" s="25" t="str">
        <x:v>A</x:v>
      </x:c>
      <x:c r="C5" s="25" t="str">
        <x:v>R</x:v>
      </x:c>
      <x:c r="D5" s="25" t="str">
        <x:v>R</x:v>
      </x:c>
      <x:c r="E5" s="25" t="str">
        <x:v>C</x:v>
      </x:c>
      <x:c r="F5" s="25" t="str">
        <x:v>C</x:v>
      </x:c>
      <x:c r="G5" s="25" t="str">
        <x:v>C</x:v>
      </x:c>
      <x:c r="H5" s="25" t="str">
        <x:v>C</x:v>
      </x:c>
      <x:c r="I5" s="25" t="str">
        <x:v>C</x:v>
      </x:c>
      <x:c r="J5" s="25" t="str">
        <x:v>I</x:v>
      </x:c>
    </x:row>
    <x:row r="6" ht="36" customHeight="1">
      <x:c r="A6" s="25" t="str">
        <x:v>需求与蓝图基线</x:v>
      </x:c>
      <x:c r="B6" s="25" t="str">
        <x:v>A</x:v>
      </x:c>
      <x:c r="C6" s="25" t="str">
        <x:v>R</x:v>
      </x:c>
      <x:c r="D6" s="25" t="str">
        <x:v>R</x:v>
      </x:c>
      <x:c r="E6" s="25" t="str">
        <x:v>C</x:v>
      </x:c>
      <x:c r="F6" s="25" t="str">
        <x:v>C</x:v>
      </x:c>
      <x:c r="G6" s="25" t="str">
        <x:v>C</x:v>
      </x:c>
      <x:c r="H6" s="25" t="str">
        <x:v>C</x:v>
      </x:c>
      <x:c r="I6" s="25" t="str">
        <x:v>C</x:v>
      </x:c>
      <x:c r="J6" s="25" t="str">
        <x:v>C</x:v>
      </x:c>
    </x:row>
    <x:row r="7" ht="36" customHeight="1">
      <x:c r="A7" s="25" t="str">
        <x:v>工艺路线与作业批准</x:v>
      </x:c>
      <x:c r="B7" s="25" t="str">
        <x:v>I</x:v>
      </x:c>
      <x:c r="C7" s="25" t="str">
        <x:v>C</x:v>
      </x:c>
      <x:c r="D7" s="25" t="str">
        <x:v>C</x:v>
      </x:c>
      <x:c r="E7" s="25" t="str">
        <x:v>C</x:v>
      </x:c>
      <x:c r="F7" s="25" t="str">
        <x:v>A/R</x:v>
      </x:c>
      <x:c r="G7" s="25" t="str">
        <x:v>C</x:v>
      </x:c>
      <x:c r="H7" s="25" t="str">
        <x:v>I</x:v>
      </x:c>
      <x:c r="I7" s="25" t="str">
        <x:v>I</x:v>
      </x:c>
      <x:c r="J7" s="25" t="str">
        <x:v>C</x:v>
      </x:c>
    </x:row>
    <x:row r="8" ht="36" customHeight="1">
      <x:c r="A8" s="25" t="str">
        <x:v>测试规范与质量处置规则</x:v>
      </x:c>
      <x:c r="B8" s="25" t="str">
        <x:v>I</x:v>
      </x:c>
      <x:c r="C8" s="25" t="str">
        <x:v>C</x:v>
      </x:c>
      <x:c r="D8" s="25" t="str">
        <x:v>C</x:v>
      </x:c>
      <x:c r="E8" s="25" t="str">
        <x:v>I</x:v>
      </x:c>
      <x:c r="F8" s="25" t="str">
        <x:v>C</x:v>
      </x:c>
      <x:c r="G8" s="25" t="str">
        <x:v>A/R</x:v>
      </x:c>
      <x:c r="H8" s="25" t="str">
        <x:v>I</x:v>
      </x:c>
      <x:c r="I8" s="25" t="str">
        <x:v>I</x:v>
      </x:c>
      <x:c r="J8" s="25" t="str">
        <x:v>C</x:v>
      </x:c>
    </x:row>
    <x:row r="9" ht="36" customHeight="1">
      <x:c r="A9" s="25" t="str">
        <x:v>ERP接口与主数据映射</x:v>
      </x:c>
      <x:c r="B9" s="25" t="str">
        <x:v>I</x:v>
      </x:c>
      <x:c r="C9" s="25" t="str">
        <x:v>C</x:v>
      </x:c>
      <x:c r="D9" s="25" t="str">
        <x:v>C</x:v>
      </x:c>
      <x:c r="E9" s="25" t="str">
        <x:v>C</x:v>
      </x:c>
      <x:c r="F9" s="25" t="str">
        <x:v>C</x:v>
      </x:c>
      <x:c r="G9" s="25" t="str">
        <x:v>C</x:v>
      </x:c>
      <x:c r="H9" s="25" t="str">
        <x:v>C</x:v>
      </x:c>
      <x:c r="I9" s="25" t="str">
        <x:v>A/R</x:v>
      </x:c>
      <x:c r="J9" s="25" t="str">
        <x:v>R</x:v>
      </x:c>
    </x:row>
    <x:row r="10" ht="36" customHeight="1">
      <x:c r="A10" s="25" t="str">
        <x:v>技术设计与实现</x:v>
      </x:c>
      <x:c r="B10" s="25" t="str">
        <x:v>I</x:v>
      </x:c>
      <x:c r="C10" s="25" t="str">
        <x:v>I</x:v>
      </x:c>
      <x:c r="D10" s="25" t="str">
        <x:v>A</x:v>
      </x:c>
      <x:c r="E10" s="25" t="str">
        <x:v>C</x:v>
      </x:c>
      <x:c r="F10" s="25" t="str">
        <x:v>C</x:v>
      </x:c>
      <x:c r="G10" s="25" t="str">
        <x:v>C</x:v>
      </x:c>
      <x:c r="H10" s="25" t="str">
        <x:v>C</x:v>
      </x:c>
      <x:c r="I10" s="25" t="str">
        <x:v>C</x:v>
      </x:c>
      <x:c r="J10" s="25" t="str">
        <x:v>R</x:v>
      </x:c>
    </x:row>
    <x:row r="11" ht="36" customHeight="1">
      <x:c r="A11" s="25" t="str">
        <x:v>UAT准备与执行</x:v>
      </x:c>
      <x:c r="B11" s="25" t="str">
        <x:v>I</x:v>
      </x:c>
      <x:c r="C11" s="25" t="str">
        <x:v>A</x:v>
      </x:c>
      <x:c r="D11" s="25" t="str">
        <x:v>R</x:v>
      </x:c>
      <x:c r="E11" s="25" t="str">
        <x:v>R</x:v>
      </x:c>
      <x:c r="F11" s="25" t="str">
        <x:v>R</x:v>
      </x:c>
      <x:c r="G11" s="25" t="str">
        <x:v>R</x:v>
      </x:c>
      <x:c r="H11" s="25" t="str">
        <x:v>R</x:v>
      </x:c>
      <x:c r="I11" s="25" t="str">
        <x:v>R</x:v>
      </x:c>
      <x:c r="J11" s="25" t="str">
        <x:v>C</x:v>
      </x:c>
    </x:row>
    <x:row r="12" ht="36" customHeight="1">
      <x:c r="A12" s="25" t="str">
        <x:v>生产环境与备份恢复</x:v>
      </x:c>
      <x:c r="B12" s="25" t="str">
        <x:v>I</x:v>
      </x:c>
      <x:c r="C12" s="25" t="str">
        <x:v>C</x:v>
      </x:c>
      <x:c r="D12" s="25" t="str">
        <x:v>C</x:v>
      </x:c>
      <x:c r="E12" s="25" t="str">
        <x:v>I</x:v>
      </x:c>
      <x:c r="F12" s="25" t="str">
        <x:v>I</x:v>
      </x:c>
      <x:c r="G12" s="25" t="str">
        <x:v>I</x:v>
      </x:c>
      <x:c r="H12" s="25" t="str">
        <x:v>I</x:v>
      </x:c>
      <x:c r="I12" s="25" t="str">
        <x:v>A/R</x:v>
      </x:c>
      <x:c r="J12" s="25" t="str">
        <x:v>R</x:v>
      </x:c>
    </x:row>
    <x:row r="13" ht="36" customHeight="1">
      <x:c r="A13" s="25" t="str">
        <x:v>上线决策</x:v>
      </x:c>
      <x:c r="B13" s="25" t="str">
        <x:v>A</x:v>
      </x:c>
      <x:c r="C13" s="25" t="str">
        <x:v>R</x:v>
      </x:c>
      <x:c r="D13" s="25" t="str">
        <x:v>C</x:v>
      </x:c>
      <x:c r="E13" s="25" t="str">
        <x:v>C</x:v>
      </x:c>
      <x:c r="F13" s="25" t="str">
        <x:v>C</x:v>
      </x:c>
      <x:c r="G13" s="25" t="str">
        <x:v>C</x:v>
      </x:c>
      <x:c r="H13" s="25" t="str">
        <x:v>C</x:v>
      </x:c>
      <x:c r="I13" s="25" t="str">
        <x:v>C</x:v>
      </x:c>
      <x:c r="J13" s="25" t="str">
        <x:v>I</x:v>
      </x:c>
    </x:row>
    <x:row r="14" ht="36" customHeight="1">
      <x:c r="A14" s="25" t="str">
        <x:v>最终验收</x:v>
      </x:c>
      <x:c r="B14" s="25" t="str">
        <x:v>A</x:v>
      </x:c>
      <x:c r="C14" s="25" t="str">
        <x:v>R</x:v>
      </x:c>
      <x:c r="D14" s="25" t="str">
        <x:v>C</x:v>
      </x:c>
      <x:c r="E14" s="25" t="str">
        <x:v>C</x:v>
      </x:c>
      <x:c r="F14" s="25" t="str">
        <x:v>C</x:v>
      </x:c>
      <x:c r="G14" s="25" t="str">
        <x:v>C</x:v>
      </x:c>
      <x:c r="H14" s="25" t="str">
        <x:v>C</x:v>
      </x:c>
      <x:c r="I14" s="25" t="str">
        <x:v>C</x:v>
      </x:c>
      <x:c r="J14" s="25" t="str">
        <x:v>I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d1ae91ab3ee74b8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0" hidden="0" customWidth="1"/>
    <x:col min="3" max="3" width="40" hidden="0" customWidth="1"/>
    <x:col min="4" max="4" width="16" hidden="0" customWidth="1"/>
    <x:col min="5" max="5" width="12" hidden="0" customWidth="1"/>
    <x:col min="6" max="6" width="14" hidden="0" customWidth="1"/>
    <x:col min="7" max="7" width="42" hidden="0" customWidth="1"/>
    <x:col min="8" max="8" width="14" hidden="0" customWidth="1"/>
  </x:cols>
  <x:sheetData>
    <x:row r="1" ht="34" customHeight="1">
      <x:c r="A1" s="21" t="str">
        <x:v>R0–R6 工作分解结构</x:v>
      </x:c>
    </x:row>
    <x:row r="2" ht="26" customHeight="1">
      <x:c r="A2" s="22" t="str">
        <x:v>5–6 周为候选救援估算；真实客户项目需重新估算</x:v>
      </x:c>
    </x:row>
    <x:row r="4" ht="28" customHeight="1">
      <x:c r="A4" s="24" t="str">
        <x:v>WBS ID</x:v>
      </x:c>
      <x:c r="B4" s="24" t="str">
        <x:v>阶段</x:v>
      </x:c>
      <x:c r="C4" s="24" t="str">
        <x:v>交付物</x:v>
      </x:c>
      <x:c r="D4" s="24" t="str">
        <x:v>责任人</x:v>
      </x:c>
      <x:c r="E4" s="24" t="str">
        <x:v>工期(天)</x:v>
      </x:c>
      <x:c r="F4" s="24" t="str">
        <x:v>前置</x:v>
      </x:c>
      <x:c r="G4" s="24" t="str">
        <x:v>退出条件</x:v>
      </x:c>
      <x:c r="H4" s="24" t="str">
        <x:v>状态</x:v>
      </x:c>
    </x:row>
    <x:row r="5" ht="36" customHeight="1">
      <x:c r="A5" s="25" t="str">
        <x:v>R0-01</x:v>
      </x:c>
      <x:c r="B5" s="25" t="str">
        <x:v>R0</x:v>
      </x:c>
      <x:c r="C5" s="25" t="str">
        <x:v>项目前期文档与需求追踪基线</x:v>
      </x:c>
      <x:c r="D5" s="25" t="str">
        <x:v>MES项目经理</x:v>
      </x:c>
      <x:c r="E5" s="25" t="n">
        <x:v>2</x:v>
      </x:c>
      <x:c r="F5" s="25" t="str"/>
      <x:c r="G5" s="25" t="str">
        <x:v>文档、需求和证据等级一致</x:v>
      </x:c>
      <x:c r="H5" s="25" t="str">
        <x:v>未开始</x:v>
      </x:c>
    </x:row>
    <x:row r="6" ht="36" customHeight="1">
      <x:c r="A6" s="25" t="str">
        <x:v>R0-02</x:v>
      </x:c>
      <x:c r="B6" s="25" t="str">
        <x:v>R0</x:v>
      </x:c>
      <x:c r="C6" s="25" t="str">
        <x:v>旧行为与依赖风险基线</x:v>
      </x:c>
      <x:c r="D6" s="25" t="str">
        <x:v>开发测试</x:v>
      </x:c>
      <x:c r="E6" s="25" t="n">
        <x:v>1</x:v>
      </x:c>
      <x:c r="F6" s="25" t="str">
        <x:v>R0-01</x:v>
      </x:c>
      <x:c r="G6" s="25" t="str">
        <x:v>旧测试定位和依赖处置计划确认</x:v>
      </x:c>
      <x:c r="H6" s="25" t="str">
        <x:v>未开始</x:v>
      </x:c>
    </x:row>
    <x:row r="7" ht="36" customHeight="1">
      <x:c r="A7" s="25" t="str">
        <x:v>R1-01</x:v>
      </x:c>
      <x:c r="B7" s="25" t="str">
        <x:v>R1</x:v>
      </x:c>
      <x:c r="C7" s="25" t="str">
        <x:v>EF Core Migration 与显式初始化</x:v>
      </x:c>
      <x:c r="D7" s="25" t="str">
        <x:v>开发测试</x:v>
      </x:c>
      <x:c r="E7" s="25" t="n">
        <x:v>2</x:v>
      </x:c>
      <x:c r="F7" s="25" t="str">
        <x:v>R0-02</x:v>
      </x:c>
      <x:c r="G7" s="25" t="str">
        <x:v>无 EnsureCreated/自动删库</x:v>
      </x:c>
      <x:c r="H7" s="25" t="str">
        <x:v>未开始</x:v>
      </x:c>
    </x:row>
    <x:row r="8" ht="36" customHeight="1">
      <x:c r="A8" s="25" t="str">
        <x:v>R1-02</x:v>
      </x:c>
      <x:c r="B8" s="25" t="str">
        <x:v>R1</x:v>
      </x:c>
      <x:c r="C8" s="25" t="str">
        <x:v>SQL Server 新装与升级测试</x:v>
      </x:c>
      <x:c r="D8" s="25" t="str">
        <x:v>开发测试</x:v>
      </x:c>
      <x:c r="E8" s="25" t="n">
        <x:v>2</x:v>
      </x:c>
      <x:c r="F8" s="25" t="str">
        <x:v>R1-01</x:v>
      </x:c>
      <x:c r="G8" s="25" t="str">
        <x:v>空库和带数据升级通过</x:v>
      </x:c>
      <x:c r="H8" s="25" t="str">
        <x:v>未开始</x:v>
      </x:c>
    </x:row>
    <x:row r="9" ht="36" customHeight="1">
      <x:c r="A9" s="25" t="str">
        <x:v>R1-03</x:v>
      </x:c>
      <x:c r="B9" s="25" t="str">
        <x:v>R1</x:v>
      </x:c>
      <x:c r="C9" s="25" t="str">
        <x:v>生产配置与密钥门禁</x:v>
      </x:c>
      <x:c r="D9" s="25" t="str">
        <x:v>ERP/IT</x:v>
      </x:c>
      <x:c r="E9" s="25" t="n">
        <x:v>1</x:v>
      </x:c>
      <x:c r="F9" s="25" t="str">
        <x:v>R1-01</x:v>
      </x:c>
      <x:c r="G9" s="25" t="str">
        <x:v>生产错误配置拒绝启动</x:v>
      </x:c>
      <x:c r="H9" s="25" t="str">
        <x:v>未开始</x:v>
      </x:c>
    </x:row>
    <x:row r="10" ht="36" customHeight="1">
      <x:c r="A10" s="25" t="str">
        <x:v>R2-01</x:v>
      </x:c>
      <x:c r="B10" s="25" t="str">
        <x:v>R2</x:v>
      </x:c>
      <x:c r="C10" s="25" t="str">
        <x:v>生产订单生命周期与受控变更</x:v>
      </x:c>
      <x:c r="D10" s="25" t="str">
        <x:v>开发测试</x:v>
      </x:c>
      <x:c r="E10" s="25" t="n">
        <x:v>2</x:v>
      </x:c>
      <x:c r="F10" s="25" t="str">
        <x:v>R1-02</x:v>
      </x:c>
      <x:c r="G10" s="25" t="str">
        <x:v>状态机与负向测试通过</x:v>
      </x:c>
      <x:c r="H10" s="25" t="str">
        <x:v>未开始</x:v>
      </x:c>
    </x:row>
    <x:row r="11" ht="36" customHeight="1">
      <x:c r="A11" s="25" t="str">
        <x:v>R2-02</x:v>
      </x:c>
      <x:c r="B11" s="25" t="str">
        <x:v>R2</x:v>
      </x:c>
      <x:c r="C11" s="25" t="str">
        <x:v>自包含执行快照</x:v>
      </x:c>
      <x:c r="D11" s="25" t="str">
        <x:v>开发测试</x:v>
      </x:c>
      <x:c r="E11" s="25" t="n">
        <x:v>2</x:v>
      </x:c>
      <x:c r="F11" s="25" t="str">
        <x:v>R2-01</x:v>
      </x:c>
      <x:c r="G11" s="25" t="str">
        <x:v>模板变化不影响已下达订单</x:v>
      </x:c>
      <x:c r="H11" s="25" t="str">
        <x:v>未开始</x:v>
      </x:c>
    </x:row>
    <x:row r="12" ht="36" customHeight="1">
      <x:c r="A12" s="25" t="str">
        <x:v>R2-03</x:v>
      </x:c>
      <x:c r="B12" s="25" t="str">
        <x:v>R2</x:v>
      </x:c>
      <x:c r="C12" s="25" t="str">
        <x:v>身份、START_WIP 与制造事件</x:v>
      </x:c>
      <x:c r="D12" s="25" t="str">
        <x:v>开发测试</x:v>
      </x:c>
      <x:c r="E12" s="25" t="n">
        <x:v>2</x:v>
      </x:c>
      <x:c r="F12" s="25" t="str">
        <x:v>R2-02</x:v>
      </x:c>
      <x:c r="G12" s="25" t="str">
        <x:v>订单到单件在制纵向切片通过</x:v>
      </x:c>
      <x:c r="H12" s="25" t="str">
        <x:v>未开始</x:v>
      </x:c>
    </x:row>
    <x:row r="13" ht="36" customHeight="1">
      <x:c r="A13" s="25" t="str">
        <x:v>R2-04</x:v>
      </x:c>
      <x:c r="B13" s="25" t="str">
        <x:v>R2</x:v>
      </x:c>
      <x:c r="C13" s="25" t="str">
        <x:v>物料事务账与三种追溯粒度</x:v>
      </x:c>
      <x:c r="D13" s="25" t="str">
        <x:v>开发测试</x:v>
      </x:c>
      <x:c r="E13" s="25" t="n">
        <x:v>2</x:v>
      </x:c>
      <x:c r="F13" s="25" t="str">
        <x:v>R2-03</x:v>
      </x:c>
      <x:c r="G13" s="25" t="str">
        <x:v>交接/发料/耗用/冲正可对账</x:v>
      </x:c>
      <x:c r="H13" s="25" t="str">
        <x:v>未开始</x:v>
      </x:c>
    </x:row>
    <x:row r="14" ht="36" customHeight="1">
      <x:c r="A14" s="25" t="str">
        <x:v>R3-01</x:v>
      </x:c>
      <x:c r="B14" s="25" t="str">
        <x:v>R3</x:v>
      </x:c>
      <x:c r="C14" s="25" t="str">
        <x:v>固件、测试规范与逐项测量</x:v>
      </x:c>
      <x:c r="D14" s="25" t="str">
        <x:v>开发测试</x:v>
      </x:c>
      <x:c r="E14" s="25" t="n">
        <x:v>3</x:v>
      </x:c>
      <x:c r="F14" s="25" t="str">
        <x:v>R2-04</x:v>
      </x:c>
      <x:c r="G14" s="25" t="str">
        <x:v>失败与复测记录独立</x:v>
      </x:c>
      <x:c r="H14" s="25" t="str">
        <x:v>未开始</x:v>
      </x:c>
    </x:row>
    <x:row r="15" ht="36" customHeight="1">
      <x:c r="A15" s="25" t="str">
        <x:v>R3-02</x:v>
      </x:c>
      <x:c r="B15" s="25" t="str">
        <x:v>R3</x:v>
      </x:c>
      <x:c r="C15" s="25" t="str">
        <x:v>不合格、质量保留与处置</x:v>
      </x:c>
      <x:c r="D15" s="25" t="str">
        <x:v>开发测试</x:v>
      </x:c>
      <x:c r="E15" s="25" t="n">
        <x:v>3</x:v>
      </x:c>
      <x:c r="F15" s="25" t="str">
        <x:v>R3-01</x:v>
      </x:c>
      <x:c r="G15" s="25" t="str">
        <x:v>处置权限和门禁通过</x:v>
      </x:c>
      <x:c r="H15" s="25" t="str">
        <x:v>未开始</x:v>
      </x:c>
    </x:row>
    <x:row r="16" ht="36" customHeight="1">
      <x:c r="A16" s="25" t="str">
        <x:v>R3-03</x:v>
      </x:c>
      <x:c r="B16" s="25" t="str">
        <x:v>R3</x:v>
      </x:c>
      <x:c r="C16" s="25" t="str">
        <x:v>完整单件谱系查询与导出</x:v>
      </x:c>
      <x:c r="D16" s="25" t="str">
        <x:v>开发测试</x:v>
      </x:c>
      <x:c r="E16" s="25" t="n">
        <x:v>2</x:v>
      </x:c>
      <x:c r="F16" s="25" t="str">
        <x:v>R3-02</x:v>
      </x:c>
      <x:c r="G16" s="25" t="str">
        <x:v>三条制造场景谱系完整</x:v>
      </x:c>
      <x:c r="H16" s="25" t="str">
        <x:v>未开始</x:v>
      </x:c>
    </x:row>
    <x:row r="17" ht="36" customHeight="1">
      <x:c r="A17" s="25" t="str">
        <x:v>R4-01</x:v>
      </x:c>
      <x:c r="B17" s="25" t="str">
        <x:v>R4</x:v>
      </x:c>
      <x:c r="C17" s="25" t="str">
        <x:v>Inbox 与幂等入站</x:v>
      </x:c>
      <x:c r="D17" s="25" t="str">
        <x:v>开发测试</x:v>
      </x:c>
      <x:c r="E17" s="25" t="n">
        <x:v>2</x:v>
      </x:c>
      <x:c r="F17" s="25" t="str">
        <x:v>R3-03</x:v>
      </x:c>
      <x:c r="G17" s="25" t="str">
        <x:v>重复和失败报文测试通过</x:v>
      </x:c>
      <x:c r="H17" s="25" t="str">
        <x:v>未开始</x:v>
      </x:c>
    </x:row>
    <x:row r="18" ht="36" customHeight="1">
      <x:c r="A18" s="25" t="str">
        <x:v>R4-02</x:v>
      </x:c>
      <x:c r="B18" s="25" t="str">
        <x:v>R4</x:v>
      </x:c>
      <x:c r="C18" s="25" t="str">
        <x:v>Outbox、重试、死信与回执</x:v>
      </x:c>
      <x:c r="D18" s="25" t="str">
        <x:v>开发测试</x:v>
      </x:c>
      <x:c r="E18" s="25" t="n">
        <x:v>2</x:v>
      </x:c>
      <x:c r="F18" s="25" t="str">
        <x:v>R4-01</x:v>
      </x:c>
      <x:c r="G18" s="25" t="str">
        <x:v>失败恢复和并发认领通过</x:v>
      </x:c>
      <x:c r="H18" s="25" t="str">
        <x:v>未开始</x:v>
      </x:c>
    </x:row>
    <x:row r="19" ht="36" customHeight="1">
      <x:c r="A19" s="25" t="str">
        <x:v>R4-03</x:v>
      </x:c>
      <x:c r="B19" s="25" t="str">
        <x:v>R4</x:v>
      </x:c>
      <x:c r="C19" s="25" t="str">
        <x:v>模拟 ERP 与对账工作台</x:v>
      </x:c>
      <x:c r="D19" s="25" t="str">
        <x:v>开发测试</x:v>
      </x:c>
      <x:c r="E19" s="25" t="n">
        <x:v>1</x:v>
      </x:c>
      <x:c r="F19" s="25" t="str">
        <x:v>R4-02</x:v>
      </x:c>
      <x:c r="G19" s="25" t="str">
        <x:v>模拟器走正式契约</x:v>
      </x:c>
      <x:c r="H19" s="25" t="str">
        <x:v>未开始</x:v>
      </x:c>
    </x:row>
    <x:row r="20" ht="36" customHeight="1">
      <x:c r="A20" s="25" t="str">
        <x:v>R5-01</x:v>
      </x:c>
      <x:c r="B20" s="25" t="str">
        <x:v>R5</x:v>
      </x:c>
      <x:c r="C20" s="25" t="str">
        <x:v>计划/工位/质量/追溯核心 UI</x:v>
      </x:c>
      <x:c r="D20" s="25" t="str">
        <x:v>开发测试</x:v>
      </x:c>
      <x:c r="E20" s="25" t="n">
        <x:v>4</x:v>
      </x:c>
      <x:c r="F20" s="25" t="str">
        <x:v>R4-03</x:v>
      </x:c>
      <x:c r="G20" s="25" t="str">
        <x:v>四条流程可浏览器执行</x:v>
      </x:c>
      <x:c r="H20" s="25" t="str">
        <x:v>未开始</x:v>
      </x:c>
    </x:row>
    <x:row r="21" ht="36" customHeight="1">
      <x:c r="A21" s="25" t="str">
        <x:v>R5-02</x:v>
      </x:c>
      <x:c r="B21" s="25" t="str">
        <x:v>R5</x:v>
      </x:c>
      <x:c r="C21" s="25" t="str">
        <x:v>浏览器 E2E 与视觉修复</x:v>
      </x:c>
      <x:c r="D21" s="25" t="str">
        <x:v>开发测试</x:v>
      </x:c>
      <x:c r="E21" s="25" t="n">
        <x:v>2</x:v>
      </x:c>
      <x:c r="F21" s="25" t="str">
        <x:v>R5-01</x:v>
      </x:c>
      <x:c r="G21" s="25" t="str">
        <x:v>关键视口无阻塞缺陷</x:v>
      </x:c>
      <x:c r="H21" s="25" t="str">
        <x:v>未开始</x:v>
      </x:c>
    </x:row>
    <x:row r="22" ht="36" customHeight="1">
      <x:c r="A22" s="25" t="str">
        <x:v>R6-01</x:v>
      </x:c>
      <x:c r="B22" s="25" t="str">
        <x:v>R6</x:v>
      </x:c>
      <x:c r="C22" s="25" t="str">
        <x:v>HTTPS 私有化部署与恢复演练</x:v>
      </x:c>
      <x:c r="D22" s="25" t="str">
        <x:v>ERP/IT</x:v>
      </x:c>
      <x:c r="E22" s="25" t="n">
        <x:v>2</x:v>
      </x:c>
      <x:c r="F22" s="25" t="str">
        <x:v>R5-02</x:v>
      </x:c>
      <x:c r="G22" s="25" t="str">
        <x:v>部署、升级、备份恢复证据完成</x:v>
      </x:c>
      <x:c r="H22" s="25" t="str">
        <x:v>未开始</x:v>
      </x:c>
    </x:row>
    <x:row r="23" ht="36" customHeight="1">
      <x:c r="A23" s="25" t="str">
        <x:v>R6-02</x:v>
      </x:c>
      <x:c r="B23" s="25" t="str">
        <x:v>R6</x:v>
      </x:c>
      <x:c r="C23" s="25" t="str">
        <x:v>版本化技术验证证据包</x:v>
      </x:c>
      <x:c r="D23" s="25" t="str">
        <x:v>MES项目经理</x:v>
      </x:c>
      <x:c r="E23" s="25" t="n">
        <x:v>2</x:v>
      </x:c>
      <x:c r="F23" s="25" t="str">
        <x:v>R6-01</x:v>
      </x:c>
      <x:c r="G23" s="25" t="str">
        <x:v>需求到证据全链路可复现</x:v>
      </x:c>
      <x:c r="H23" s="25" t="str">
        <x:v>未开始</x:v>
      </x:c>
    </x:row>
    <x:row r="24" ht="36" customHeight="1">
      <x:c r="A24" s="25" t="str">
        <x:v>R6-03</x:v>
      </x:c>
      <x:c r="B24" s="25" t="str">
        <x:v>R6</x:v>
      </x:c>
      <x:c r="C24" s="25" t="str">
        <x:v>方案汇报与面试材料</x:v>
      </x:c>
      <x:c r="D24" s="25" t="str">
        <x:v>MES项目经理</x:v>
      </x:c>
      <x:c r="E24" s="25" t="n">
        <x:v>1</x:v>
      </x:c>
      <x:c r="F24" s="25" t="str">
        <x:v>R6-02</x:v>
      </x:c>
      <x:c r="G24" s="25" t="str">
        <x:v>技术/售前/项目经理三套讲法一致</x:v>
      </x:c>
      <x:c r="H24" s="25" t="str">
        <x:v>未开始</x:v>
      </x:c>
    </x:row>
  </x:sheetData>
  <x:mergeCells>
    <x:mergeCell ref="A1:H1"/>
    <x:mergeCell ref="A2:H2"/>
  </x:mergeCells>
  <x:dataValidations count="1">
    <x:dataValidation type="list" sqref="H5:H24">
      <x:formula1>"未开始,进行中,阻塞,已完成"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5786359e9a54b6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42" hidden="0" customWidth="1"/>
    <x:col min="4" max="4" width="12" hidden="0" customWidth="1"/>
    <x:col min="5" max="5" width="12" hidden="0" customWidth="1"/>
    <x:col min="6" max="6" width="16" hidden="0" customWidth="1"/>
    <x:col min="7" max="7" width="42" hidden="0" customWidth="1"/>
    <x:col min="8" max="8" width="16" hidden="0" customWidth="1"/>
  </x:cols>
  <x:sheetData>
    <x:row r="1" ht="34" customHeight="1">
      <x:c r="A1" s="21" t="str">
        <x:v>RAID 台账</x:v>
      </x:c>
    </x:row>
    <x:row r="2" ht="26" customHeight="1">
      <x:c r="A2" s="22" t="str">
        <x:v>风险、假设、问题和依赖必须可追踪，不得藏在会议记录中</x:v>
      </x:c>
    </x:row>
    <x:row r="4" ht="28" customHeight="1">
      <x:c r="A4" s="24" t="str">
        <x:v>编号</x:v>
      </x:c>
      <x:c r="B4" s="24" t="str">
        <x:v>类型</x:v>
      </x:c>
      <x:c r="C4" s="24" t="str">
        <x:v>描述</x:v>
      </x:c>
      <x:c r="D4" s="24" t="str">
        <x:v>概率</x:v>
      </x:c>
      <x:c r="E4" s="24" t="str">
        <x:v>影响</x:v>
      </x:c>
      <x:c r="F4" s="24" t="str">
        <x:v>责任人</x:v>
      </x:c>
      <x:c r="G4" s="24" t="str">
        <x:v>应对/验证</x:v>
      </x:c>
      <x:c r="H4" s="24" t="str">
        <x:v>状态</x:v>
      </x:c>
    </x:row>
    <x:row r="5" ht="36" customHeight="1">
      <x:c r="A5" s="25" t="str">
        <x:v>RISK-001</x:v>
      </x:c>
      <x:c r="B5" s="25" t="str">
        <x:v>Risk</x:v>
      </x:c>
      <x:c r="C5" s="25" t="str">
        <x:v>无真实制造专家导致业务规则失真</x:v>
      </x:c>
      <x:c r="D5" s="25" t="str">
        <x:v>High</x:v>
      </x:c>
      <x:c r="E5" s="25" t="str">
        <x:v>High</x:v>
      </x:c>
      <x:c r="F5" s="25" t="str">
        <x:v>MES项目经理</x:v>
      </x:c>
      <x:c r="G5" s="25" t="str">
        <x:v>公开证据分级；可配置；从业者评审门禁</x:v>
      </x:c>
      <x:c r="H5" s="25" t="str">
        <x:v>Open</x:v>
      </x:c>
    </x:row>
    <x:row r="6" ht="36" customHeight="1">
      <x:c r="A6" s="25" t="str">
        <x:v>RISK-002</x:v>
      </x:c>
      <x:c r="B6" s="25" t="str">
        <x:v>Risk</x:v>
      </x:c>
      <x:c r="C6" s="25" t="str">
        <x:v>ERP 版本和接口能力未知</x:v>
      </x:c>
      <x:c r="D6" s="25" t="str">
        <x:v>High</x:v>
      </x:c>
      <x:c r="E6" s="25" t="str">
        <x:v>High</x:v>
      </x:c>
      <x:c r="F6" s="25" t="str">
        <x:v>ERP/IT</x:v>
      </x:c>
      <x:c r="G6" s="25" t="str">
        <x:v>接口盘点、样例报文和技术账号验证前不承诺字段</x:v>
      </x:c>
      <x:c r="H6" s="25" t="str">
        <x:v>Open</x:v>
      </x:c>
    </x:row>
    <x:row r="7" ht="36" customHeight="1">
      <x:c r="A7" s="25" t="str">
        <x:v>RISK-003</x:v>
      </x:c>
      <x:c r="B7" s="25" t="str">
        <x:v>Risk</x:v>
      </x:c>
      <x:c r="C7" s="25" t="str">
        <x:v>旧测试锁定错误业务语义</x:v>
      </x:c>
      <x:c r="D7" s="25" t="str">
        <x:v>High</x:v>
      </x:c>
      <x:c r="E7" s="25" t="str">
        <x:v>High</x:v>
      </x:c>
      <x:c r="F7" s="25" t="str">
        <x:v>开发测试</x:v>
      </x:c>
      <x:c r="G7" s="25" t="str">
        <x:v>旧测试降级为行为记录；新验收场景先行</x:v>
      </x:c>
      <x:c r="H7" s="25" t="str">
        <x:v>Mitigating</x:v>
      </x:c>
    </x:row>
    <x:row r="8" ht="36" customHeight="1">
      <x:c r="A8" s="25" t="str">
        <x:v>RISK-004</x:v>
      </x:c>
      <x:c r="B8" s="25" t="str">
        <x:v>Risk</x:v>
      </x:c>
      <x:c r="C8" s="25" t="str">
        <x:v>旧数据缺失快照和制造事实</x:v>
      </x:c>
      <x:c r="D8" s="25" t="str">
        <x:v>High</x:v>
      </x:c>
      <x:c r="E8" s="25" t="str">
        <x:v>Medium</x:v>
      </x:c>
      <x:c r="F8" s="25" t="str">
        <x:v>开发测试</x:v>
      </x:c>
      <x:c r="G8" s="25" t="str">
        <x:v>Legacy 只读；不补造历史；新订单走新模型</x:v>
      </x:c>
      <x:c r="H8" s="25" t="str">
        <x:v>Open</x:v>
      </x:c>
    </x:row>
    <x:row r="9" ht="36" customHeight="1">
      <x:c r="A9" s="25" t="str">
        <x:v>RISK-005</x:v>
      </x:c>
      <x:c r="B9" s="25" t="str">
        <x:v>Risk</x:v>
      </x:c>
      <x:c r="C9" s="25" t="str">
        <x:v>UI 扩张再次挤占领域内核</x:v>
      </x:c>
      <x:c r="D9" s="25" t="str">
        <x:v>Medium</x:v>
      </x:c>
      <x:c r="E9" s="25" t="str">
        <x:v>High</x:v>
      </x:c>
      <x:c r="F9" s="25" t="str">
        <x:v>项目发起人</x:v>
      </x:c>
      <x:c r="G9" s="25" t="str">
        <x:v>R5 前冻结非核心 UI；需求追踪门禁</x:v>
      </x:c>
      <x:c r="H9" s="25" t="str">
        <x:v>Mitigating</x:v>
      </x:c>
    </x:row>
    <x:row r="10" ht="36" customHeight="1">
      <x:c r="A10" s="25" t="str">
        <x:v>RISK-006</x:v>
      </x:c>
      <x:c r="B10" s="25" t="str">
        <x:v>Risk</x:v>
      </x:c>
      <x:c r="C10" s="25" t="str">
        <x:v>SQL Server 与 SQLite 行为不一致</x:v>
      </x:c>
      <x:c r="D10" s="25" t="str">
        <x:v>Medium</x:v>
      </x:c>
      <x:c r="E10" s="25" t="str">
        <x:v>High</x:v>
      </x:c>
      <x:c r="F10" s="25" t="str">
        <x:v>开发测试</x:v>
      </x:c>
      <x:c r="G10" s="25" t="str">
        <x:v>真实 SQL Server 迁移、事务、并发测试</x:v>
      </x:c>
      <x:c r="H10" s="25" t="str">
        <x:v>Open</x:v>
      </x:c>
    </x:row>
    <x:row r="11" ht="36" customHeight="1">
      <x:c r="A11" s="25" t="str">
        <x:v>ASM-001</x:v>
      </x:c>
      <x:c r="B11" s="25" t="str">
        <x:v>Assumption</x:v>
      </x:c>
      <x:c r="C11" s="25" t="str">
        <x:v>试点从已测 PCBA 的整机装配开始</x:v>
      </x:c>
      <x:c r="D11" s="25" t="str">
        <x:v>N/A</x:v>
      </x:c>
      <x:c r="E11" s="25" t="str">
        <x:v>High</x:v>
      </x:c>
      <x:c r="F11" s="25" t="str">
        <x:v>工艺</x:v>
      </x:c>
      <x:c r="G11" s="25" t="str">
        <x:v>现场价值流和 SOP 确认</x:v>
      </x:c>
      <x:c r="H11" s="25" t="str">
        <x:v>To Validate</x:v>
      </x:c>
    </x:row>
    <x:row r="12" ht="36" customHeight="1">
      <x:c r="A12" s="25" t="str">
        <x:v>ASM-002</x:v>
      </x:c>
      <x:c r="B12" s="25" t="str">
        <x:v>Assumption</x:v>
      </x:c>
      <x:c r="C12" s="25" t="str">
        <x:v>参考路线足以支撑候选演示</x:v>
      </x:c>
      <x:c r="D12" s="25" t="str">
        <x:v>N/A</x:v>
      </x:c>
      <x:c r="E12" s="25" t="str">
        <x:v>High</x:v>
      </x:c>
      <x:c r="F12" s="25" t="str">
        <x:v>工艺</x:v>
      </x:c>
      <x:c r="G12" s="25" t="str">
        <x:v>工艺工作坊确认实际顺序、返工点和工位</x:v>
      </x:c>
      <x:c r="H12" s="25" t="str">
        <x:v>To Validate</x:v>
      </x:c>
    </x:row>
    <x:row r="13" ht="36" customHeight="1">
      <x:c r="A13" s="25" t="str">
        <x:v>ASM-003</x:v>
      </x:c>
      <x:c r="B13" s="25" t="str">
        <x:v>Assumption</x:v>
      </x:c>
      <x:c r="C13" s="25" t="str">
        <x:v>RPO 24h / RTO 4h 可用于试点</x:v>
      </x:c>
      <x:c r="D13" s="25" t="str">
        <x:v>N/A</x:v>
      </x:c>
      <x:c r="E13" s="25" t="str">
        <x:v>Medium</x:v>
      </x:c>
      <x:c r="F13" s="25" t="str">
        <x:v>ERP/IT</x:v>
      </x:c>
      <x:c r="G13" s="25" t="str">
        <x:v>业务连续性评审</x:v>
      </x:c>
      <x:c r="H13" s="25" t="str">
        <x:v>To Validate</x:v>
      </x:c>
    </x:row>
    <x:row r="14" ht="36" customHeight="1">
      <x:c r="A14" s="25" t="str">
        <x:v>DEP-001</x:v>
      </x:c>
      <x:c r="B14" s="25" t="str">
        <x:v>Dependency</x:v>
      </x:c>
      <x:c r="C14" s="25" t="str">
        <x:v>Docker 与 SQL Server 测试运行环境可用</x:v>
      </x:c>
      <x:c r="D14" s="25" t="str">
        <x:v>N/A</x:v>
      </x:c>
      <x:c r="E14" s="25" t="str">
        <x:v>High</x:v>
      </x:c>
      <x:c r="F14" s="25" t="str">
        <x:v>ERP/IT</x:v>
      </x:c>
      <x:c r="G14" s="25" t="str">
        <x:v>R1 开始前验证运行环境和镜像获取</x:v>
      </x:c>
      <x:c r="H14" s="25" t="str">
        <x:v>Open</x:v>
      </x:c>
    </x:row>
    <x:row r="15" ht="36" customHeight="1">
      <x:c r="A15" s="25" t="str">
        <x:v>DEP-002</x:v>
      </x:c>
      <x:c r="B15" s="25" t="str">
        <x:v>Dependency</x:v>
      </x:c>
      <x:c r="C15" s="25" t="str">
        <x:v>真实联调依赖 ERP 接口文档、账号和沙箱</x:v>
      </x:c>
      <x:c r="D15" s="25" t="str">
        <x:v>N/A</x:v>
      </x:c>
      <x:c r="E15" s="25" t="str">
        <x:v>High</x:v>
      </x:c>
      <x:c r="F15" s="25" t="str">
        <x:v>ERP/IT</x:v>
      </x:c>
      <x:c r="G15" s="25" t="str">
        <x:v>候选阶段只实现正式契约与模拟器</x:v>
      </x:c>
      <x:c r="H15" s="25" t="str">
        <x:v>Open</x:v>
      </x:c>
    </x:row>
    <x:row r="16" ht="36" customHeight="1">
      <x:c r="A16" s="25" t="str">
        <x:v>ISSUE-001</x:v>
      </x:c>
      <x:c r="B16" s="25" t="str">
        <x:v>Issue</x:v>
      </x:c>
      <x:c r="C16" s="25" t="str">
        <x:v>当前 Compose 硬编码密钥并运行 Development</x:v>
      </x:c>
      <x:c r="D16" s="25" t="str">
        <x:v>N/A</x:v>
      </x:c>
      <x:c r="E16" s="25" t="str">
        <x:v>High</x:v>
      </x:c>
      <x:c r="F16" s="25" t="str">
        <x:v>开发测试</x:v>
      </x:c>
      <x:c r="G16" s="25" t="str">
        <x:v>R1 建立生产配置门禁</x:v>
      </x:c>
      <x:c r="H16" s="25" t="str">
        <x:v>Open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b1cd097f5092448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6" hidden="0" customWidth="1"/>
    <x:col min="3" max="3" width="18" hidden="0" customWidth="1"/>
    <x:col min="4" max="4" width="18" hidden="0" customWidth="1"/>
    <x:col min="5" max="5" width="20" hidden="0" customWidth="1"/>
    <x:col min="6" max="6" width="28" hidden="0" customWidth="1"/>
    <x:col min="7" max="7" width="24" hidden="0" customWidth="1"/>
    <x:col min="8" max="8" width="18" hidden="0" customWidth="1"/>
  </x:cols>
  <x:sheetData>
    <x:row r="1" ht="34" customHeight="1">
      <x:c r="A1" s="21" t="str">
        <x:v>候选接口清单</x:v>
      </x:c>
    </x:row>
    <x:row r="2" ht="26" customHeight="1">
      <x:c r="A2" s="22" t="str">
        <x:v>接口名称与字段仅为契约候选；需结合 ERP/WMS 产品、版本和样例报文确认</x:v>
      </x:c>
    </x:row>
    <x:row r="4" ht="28" customHeight="1">
      <x:c r="A4" s="24" t="str">
        <x:v>编号</x:v>
      </x:c>
      <x:c r="B4" s="24" t="str">
        <x:v>接口</x:v>
      </x:c>
      <x:c r="C4" s="24" t="str">
        <x:v>方向</x:v>
      </x:c>
      <x:c r="D4" s="24" t="str">
        <x:v>业务对象</x:v>
      </x:c>
      <x:c r="E4" s="24" t="str">
        <x:v>触发</x:v>
      </x:c>
      <x:c r="F4" s="24" t="str">
        <x:v>幂等键</x:v>
      </x:c>
      <x:c r="G4" s="24" t="str">
        <x:v>回执</x:v>
      </x:c>
      <x:c r="H4" s="24" t="str">
        <x:v>状态</x:v>
      </x:c>
    </x:row>
    <x:row r="5" ht="36" customHeight="1">
      <x:c r="A5" s="25" t="str">
        <x:v>IF-001</x:v>
      </x:c>
      <x:c r="B5" s="25" t="str">
        <x:v>ProductMasterUpsert</x:v>
      </x:c>
      <x:c r="C5" s="25" t="str">
        <x:v>ERP -&gt; MES</x:v>
      </x:c>
      <x:c r="D5" s="25" t="str">
        <x:v>产品与单位</x:v>
      </x:c>
      <x:c r="E5" s="25" t="str">
        <x:v>新增/变更</x:v>
      </x:c>
      <x:c r="F5" s="25" t="str">
        <x:v>SourceSystem + MessageId</x:v>
      </x:c>
      <x:c r="G5" s="25" t="str">
        <x:v>Accepted/Rejected</x:v>
      </x:c>
      <x:c r="H5" s="25" t="str">
        <x:v>Contract Candidate</x:v>
      </x:c>
    </x:row>
    <x:row r="6" ht="36" customHeight="1">
      <x:c r="A6" s="25" t="str">
        <x:v>IF-002</x:v>
      </x:c>
      <x:c r="B6" s="25" t="str">
        <x:v>MaterialMasterUpsert</x:v>
      </x:c>
      <x:c r="C6" s="25" t="str">
        <x:v>ERP -&gt; MES</x:v>
      </x:c>
      <x:c r="D6" s="25" t="str">
        <x:v>物料与单位</x:v>
      </x:c>
      <x:c r="E6" s="25" t="str">
        <x:v>新增/变更</x:v>
      </x:c>
      <x:c r="F6" s="25" t="str">
        <x:v>SourceSystem + MessageId</x:v>
      </x:c>
      <x:c r="G6" s="25" t="str">
        <x:v>Accepted/Rejected</x:v>
      </x:c>
      <x:c r="H6" s="25" t="str">
        <x:v>Contract Candidate</x:v>
      </x:c>
    </x:row>
    <x:row r="7" ht="36" customHeight="1">
      <x:c r="A7" s="25" t="str">
        <x:v>IF-003</x:v>
      </x:c>
      <x:c r="B7" s="25" t="str">
        <x:v>ProductionOrderUpsert</x:v>
      </x:c>
      <x:c r="C7" s="25" t="str">
        <x:v>ERP -&gt; MES</x:v>
      </x:c>
      <x:c r="D7" s="25" t="str">
        <x:v>生产订单</x:v>
      </x:c>
      <x:c r="E7" s="25" t="str">
        <x:v>创建/受控变更</x:v>
      </x:c>
      <x:c r="F7" s="25" t="str">
        <x:v>SourceSystem + OrderNo + SourceVersion</x:v>
      </x:c>
      <x:c r="G7" s="25" t="str">
        <x:v>Accepted/Rejected/ChangeRequired</x:v>
      </x:c>
      <x:c r="H7" s="25" t="str">
        <x:v>Contract Candidate</x:v>
      </x:c>
    </x:row>
    <x:row r="8" ht="36" customHeight="1">
      <x:c r="A8" s="25" t="str">
        <x:v>IF-004</x:v>
      </x:c>
      <x:c r="B8" s="25" t="str">
        <x:v>MaterialTransferNotice</x:v>
      </x:c>
      <x:c r="C8" s="25" t="str">
        <x:v>ERP/WMS -&gt; MES</x:v>
      </x:c>
      <x:c r="D8" s="25" t="str">
        <x:v>物料交接</x:v>
      </x:c>
      <x:c r="E8" s="25" t="str">
        <x:v>线边交接</x:v>
      </x:c>
      <x:c r="F8" s="25" t="str">
        <x:v>TransferNo + LineNo</x:v>
      </x:c>
      <x:c r="G8" s="25" t="str">
        <x:v>Received/Rejected</x:v>
      </x:c>
      <x:c r="H8" s="25" t="str">
        <x:v>To Validate</x:v>
      </x:c>
    </x:row>
    <x:row r="9" ht="36" customHeight="1">
      <x:c r="A9" s="25" t="str">
        <x:v>IF-005</x:v>
      </x:c>
      <x:c r="B9" s="25" t="str">
        <x:v>ProductionCompletion</x:v>
      </x:c>
      <x:c r="C9" s="25" t="str">
        <x:v>MES -&gt; ERP</x:v>
      </x:c>
      <x:c r="D9" s="25" t="str">
        <x:v>合格完工</x:v>
      </x:c>
      <x:c r="E9" s="25" t="str">
        <x:v>每 SN 或汇总</x:v>
      </x:c>
      <x:c r="F9" s="25" t="str">
        <x:v>CompletionEventId</x:v>
      </x:c>
      <x:c r="G9" s="25" t="str">
        <x:v>Posted/Rejected</x:v>
      </x:c>
      <x:c r="H9" s="25" t="str">
        <x:v>Contract Candidate</x:v>
      </x:c>
    </x:row>
    <x:row r="10" ht="36" customHeight="1">
      <x:c r="A10" s="25" t="str">
        <x:v>IF-006</x:v>
      </x:c>
      <x:c r="B10" s="25" t="str">
        <x:v>MaterialConsumption</x:v>
      </x:c>
      <x:c r="C10" s="25" t="str">
        <x:v>MES -&gt; ERP</x:v>
      </x:c>
      <x:c r="D10" s="25" t="str">
        <x:v>耗用/冲正</x:v>
      </x:c>
      <x:c r="E10" s="25" t="str">
        <x:v>实际耗用或结算</x:v>
      </x:c>
      <x:c r="F10" s="25" t="str">
        <x:v>MaterialTransactionId</x:v>
      </x:c>
      <x:c r="G10" s="25" t="str">
        <x:v>Posted/Rejected</x:v>
      </x:c>
      <x:c r="H10" s="25" t="str">
        <x:v>Contract Candidate</x:v>
      </x:c>
    </x:row>
    <x:row r="11" ht="36" customHeight="1">
      <x:c r="A11" s="25" t="str">
        <x:v>IF-007</x:v>
      </x:c>
      <x:c r="B11" s="25" t="str">
        <x:v>ScrapDeclaration</x:v>
      </x:c>
      <x:c r="C11" s="25" t="str">
        <x:v>MES -&gt; ERP</x:v>
      </x:c>
      <x:c r="D11" s="25" t="str">
        <x:v>报废</x:v>
      </x:c>
      <x:c r="E11" s="25" t="str">
        <x:v>报废处置完成</x:v>
      </x:c>
      <x:c r="F11" s="25" t="str">
        <x:v>ScrapEventId</x:v>
      </x:c>
      <x:c r="G11" s="25" t="str">
        <x:v>Posted/Rejected</x:v>
      </x:c>
      <x:c r="H11" s="25" t="str">
        <x:v>To Validate</x:v>
      </x:c>
    </x:row>
    <x:row r="12" ht="36" customHeight="1">
      <x:c r="A12" s="25" t="str">
        <x:v>IF-008</x:v>
      </x:c>
      <x:c r="B12" s="25" t="str">
        <x:v>WarehouseHandoff</x:v>
      </x:c>
      <x:c r="C12" s="25" t="str">
        <x:v>MES &lt;-&gt; WMS/仓储</x:v>
      </x:c>
      <x:c r="D12" s="25" t="str">
        <x:v>成品交接</x:v>
      </x:c>
      <x:c r="E12" s="25" t="str">
        <x:v>完工后交接</x:v>
      </x:c>
      <x:c r="F12" s="25" t="str">
        <x:v>HandoffEventId</x:v>
      </x:c>
      <x:c r="G12" s="25" t="str">
        <x:v>Received/Rejected</x:v>
      </x:c>
      <x:c r="H12" s="25" t="str">
        <x:v>To Validate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b60087c28904439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8" hidden="0" customWidth="1"/>
    <x:col min="3" max="3" width="24" hidden="0" customWidth="1"/>
    <x:col min="4" max="4" width="42" hidden="0" customWidth="1"/>
    <x:col min="5" max="5" width="58" hidden="0" customWidth="1"/>
    <x:col min="6" max="6" width="16" hidden="0" customWidth="1"/>
  </x:cols>
  <x:sheetData>
    <x:row r="1" ht="34" customHeight="1">
      <x:c r="A1" s="21" t="str">
        <x:v>UAT 主场景</x:v>
      </x:c>
    </x:row>
    <x:row r="2" ht="26" customHeight="1">
      <x:c r="A2" s="22" t="str">
        <x:v>技术验证不等于现场验收；真实 UAT 需由关键用户执行并签字</x:v>
      </x:c>
    </x:row>
    <x:row r="4" ht="28" customHeight="1">
      <x:c r="A4" s="24" t="str">
        <x:v>编号</x:v>
      </x:c>
      <x:c r="B4" s="24" t="str">
        <x:v>场景</x:v>
      </x:c>
      <x:c r="C4" s="24" t="str">
        <x:v>参与角色</x:v>
      </x:c>
      <x:c r="D4" s="24" t="str">
        <x:v>覆盖需求族</x:v>
      </x:c>
      <x:c r="E4" s="24" t="str">
        <x:v>预期结果</x:v>
      </x:c>
      <x:c r="F4" s="24" t="str">
        <x:v>状态</x:v>
      </x:c>
    </x:row>
    <x:row r="5" ht="36" customHeight="1">
      <x:c r="A5" s="25" t="str">
        <x:v>UAT-001</x:v>
      </x:c>
      <x:c r="B5" s="25" t="str">
        <x:v>正常完工与单件谱系</x:v>
      </x:c>
      <x:c r="C5" s="25" t="str">
        <x:v>计划/物料/操作/质量/ERP</x:v>
      </x:c>
      <x:c r="D5" s="25" t="str">
        <x:v>FR-MD,FR-PO,FR-ID,FR-WIP,FR-MAT,FR-FW,FR-TEST,FR-CMP,FR-TRC</x:v>
      </x:c>
      <x:c r="E5" s="25" t="str">
        <x:v>固定 SN 完整谱系且三种完成状态可区分</x:v>
      </x:c>
      <x:c r="F5" s="25" t="str">
        <x:v>Not Run</x:v>
      </x:c>
    </x:row>
    <x:row r="6" ht="36" customHeight="1">
      <x:c r="A6" s="25" t="str">
        <x:v>UAT-002</x:v>
      </x:c>
      <x:c r="B6" s="25" t="str">
        <x:v>测试失败、返工与复测</x:v>
      </x:c>
      <x:c r="C6" s="25" t="str">
        <x:v>操作/工艺/质量</x:v>
      </x:c>
      <x:c r="D6" s="25" t="str">
        <x:v>FR-TEST,FR-QA,FR-CMP,FR-TRC,FR-SEC</x:v>
      </x:c>
      <x:c r="E6" s="25" t="str">
        <x:v>原失败保留，处置和复测可追踪，保留期间禁止完工</x:v>
      </x:c>
      <x:c r="F6" s="25" t="str">
        <x:v>Not Run</x:v>
      </x:c>
    </x:row>
    <x:row r="7" ht="36" customHeight="1">
      <x:c r="A7" s="25" t="str">
        <x:v>UAT-003</x:v>
      </x:c>
      <x:c r="B7" s="25" t="str">
        <x:v>报废与订单数量平衡</x:v>
      </x:c>
      <x:c r="C7" s="25" t="str">
        <x:v>计划/质量/物料</x:v>
      </x:c>
      <x:c r="D7" s="25" t="str">
        <x:v>FR-PO,FR-MAT,FR-QA,FR-CMP</x:v>
      </x:c>
      <x:c r="E7" s="25" t="str">
        <x:v>有在制不可取消，报废后数量与物料责任平衡</x:v>
      </x:c>
      <x:c r="F7" s="25" t="str">
        <x:v>Not Run</x:v>
      </x:c>
    </x:row>
    <x:row r="8" ht="36" customHeight="1">
      <x:c r="A8" s="25" t="str">
        <x:v>UAT-004</x:v>
      </x:c>
      <x:c r="B8" s="25" t="str">
        <x:v>集成重复、失败、重试与对账</x:v>
      </x:c>
      <x:c r="C8" s="25" t="str">
        <x:v>计划/ERP/IT</x:v>
      </x:c>
      <x:c r="D8" s="25" t="str">
        <x:v>FR-INT,FR-PO,FR-CMP</x:v>
      </x:c>
      <x:c r="E8" s="25" t="str">
        <x:v>无重复业务结果，失败可恢复，对账前不能关闭</x:v>
      </x:c>
      <x:c r="F8" s="25" t="str">
        <x:v>Not Run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14bef17f6a3c4f9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58" hidden="0" customWidth="1"/>
    <x:col min="4" max="4" width="18" hidden="0" customWidth="1"/>
    <x:col min="5" max="5" width="28" hidden="0" customWidth="1"/>
    <x:col min="6" max="6" width="16" hidden="0" customWidth="1"/>
  </x:cols>
  <x:sheetData>
    <x:row r="1" ht="34" customHeight="1">
      <x:c r="A1" s="21" t="str">
        <x:v>待澄清问题</x:v>
      </x:c>
    </x:row>
    <x:row r="2" ht="26" customHeight="1">
      <x:c r="A2" s="22" t="str">
        <x:v>这些问题会影响工艺真实性、接口范围、估算、部署和验收</x:v>
      </x:c>
    </x:row>
    <x:row r="4" ht="28" customHeight="1">
      <x:c r="A4" s="24" t="str">
        <x:v>编号</x:v>
      </x:c>
      <x:c r="B4" s="24" t="str">
        <x:v>领域</x:v>
      </x:c>
      <x:c r="C4" s="24" t="str">
        <x:v>问题</x:v>
      </x:c>
      <x:c r="D4" s="24" t="str">
        <x:v>责任人</x:v>
      </x:c>
      <x:c r="E4" s="24" t="str">
        <x:v>决策门禁</x:v>
      </x:c>
      <x:c r="F4" s="24" t="str">
        <x:v>状态</x:v>
      </x:c>
    </x:row>
    <x:row r="5" ht="36" customHeight="1">
      <x:c r="A5" s="25" t="str">
        <x:v>Q-001</x:v>
      </x:c>
      <x:c r="B5" s="25" t="str">
        <x:v>工艺</x:v>
      </x:c>
      <x:c r="C5" s="25" t="str">
        <x:v>实际装配路线、返工点和包装责任是什么？</x:v>
      </x:c>
      <x:c r="D5" s="25" t="str">
        <x:v>工艺</x:v>
      </x:c>
      <x:c r="E5" s="25" t="str">
        <x:v>制造从业者评审前</x:v>
      </x:c>
      <x:c r="F5" s="25" t="str">
        <x:v>Open</x:v>
      </x:c>
    </x:row>
    <x:row r="6" ht="36" customHeight="1">
      <x:c r="A6" s="25" t="str">
        <x:v>Q-002</x:v>
      </x:c>
      <x:c r="B6" s="25" t="str">
        <x:v>产品身份</x:v>
      </x:c>
      <x:c r="C6" s="25" t="str">
        <x:v>SN、MAC、证书和标签由谁分配，何时分配？</x:v>
      </x:c>
      <x:c r="D6" s="25" t="str">
        <x:v>ERP/IT</x:v>
      </x:c>
      <x:c r="E6" s="25" t="str">
        <x:v>R2 设计确认前</x:v>
      </x:c>
      <x:c r="F6" s="25" t="str">
        <x:v>Open</x:v>
      </x:c>
    </x:row>
    <x:row r="7" ht="36" customHeight="1">
      <x:c r="A7" s="25" t="str">
        <x:v>Q-003</x:v>
      </x:c>
      <x:c r="B7" s="25" t="str">
        <x:v>物料</x:v>
      </x:c>
      <x:c r="C7" s="25" t="str">
        <x:v>哪些物料按 SN、Lot 或数量追溯？</x:v>
      </x:c>
      <x:c r="D7" s="25" t="str">
        <x:v>工艺/质量</x:v>
      </x:c>
      <x:c r="E7" s="25" t="str">
        <x:v>R2 设计确认前</x:v>
      </x:c>
      <x:c r="F7" s="25" t="str">
        <x:v>Open</x:v>
      </x:c>
    </x:row>
    <x:row r="8" ht="36" customHeight="1">
      <x:c r="A8" s="25" t="str">
        <x:v>Q-004</x:v>
      </x:c>
      <x:c r="B8" s="25" t="str">
        <x:v>测试</x:v>
      </x:c>
      <x:c r="C8" s="25" t="str">
        <x:v>测试项目、阈值、设备、夹具和原始报告格式是什么？</x:v>
      </x:c>
      <x:c r="D8" s="25" t="str">
        <x:v>工艺/质量</x:v>
      </x:c>
      <x:c r="E8" s="25" t="str">
        <x:v>R3 设计确认前</x:v>
      </x:c>
      <x:c r="F8" s="25" t="str">
        <x:v>Open</x:v>
      </x:c>
    </x:row>
    <x:row r="9" ht="36" customHeight="1">
      <x:c r="A9" s="25" t="str">
        <x:v>Q-005</x:v>
      </x:c>
      <x:c r="B9" s="25" t="str">
        <x:v>质量</x:v>
      </x:c>
      <x:c r="C9" s="25" t="str">
        <x:v>缺陷码、MRB、让步和报废审批层级是什么？</x:v>
      </x:c>
      <x:c r="D9" s="25" t="str">
        <x:v>质量</x:v>
      </x:c>
      <x:c r="E9" s="25" t="str">
        <x:v>R3 设计确认前</x:v>
      </x:c>
      <x:c r="F9" s="25" t="str">
        <x:v>Open</x:v>
      </x:c>
    </x:row>
    <x:row r="10" ht="36" customHeight="1">
      <x:c r="A10" s="25" t="str">
        <x:v>Q-006</x:v>
      </x:c>
      <x:c r="B10" s="25" t="str">
        <x:v>ERP</x:v>
      </x:c>
      <x:c r="C10" s="25" t="str">
        <x:v>ERP 产品、版本、接口方式和业务单据类型是什么？</x:v>
      </x:c>
      <x:c r="D10" s="25" t="str">
        <x:v>ERP/IT</x:v>
      </x:c>
      <x:c r="E10" s="25" t="str">
        <x:v>真实联调估算前</x:v>
      </x:c>
      <x:c r="F10" s="25" t="str">
        <x:v>Open</x:v>
      </x:c>
    </x:row>
    <x:row r="11" ht="36" customHeight="1">
      <x:c r="A11" s="25" t="str">
        <x:v>Q-007</x:v>
      </x:c>
      <x:c r="B11" s="25" t="str">
        <x:v>仓储</x:v>
      </x:c>
      <x:c r="C11" s="25" t="str">
        <x:v>MES 完工、仓储接收和 ERP 入账的责任人及回执是什么？</x:v>
      </x:c>
      <x:c r="D11" s="25" t="str">
        <x:v>物料/ERP</x:v>
      </x:c>
      <x:c r="E11" s="25" t="str">
        <x:v>R4 设计确认前</x:v>
      </x:c>
      <x:c r="F11" s="25" t="str">
        <x:v>Open</x:v>
      </x:c>
    </x:row>
    <x:row r="12" ht="36" customHeight="1">
      <x:c r="A12" s="25" t="str">
        <x:v>Q-008</x:v>
      </x:c>
      <x:c r="B12" s="25" t="str">
        <x:v>容量</x:v>
      </x:c>
      <x:c r="C12" s="25" t="str">
        <x:v>班次、产量、并发工位、峰值扫码和测试文件大小是多少？</x:v>
      </x:c>
      <x:c r="D12" s="25" t="str">
        <x:v>产线/IT</x:v>
      </x:c>
      <x:c r="E12" s="25" t="str">
        <x:v>性能基线前</x:v>
      </x:c>
      <x:c r="F12" s="25" t="str">
        <x:v>Open</x:v>
      </x:c>
    </x:row>
    <x:row r="13" ht="36" customHeight="1">
      <x:c r="A13" s="25" t="str">
        <x:v>Q-009</x:v>
      </x:c>
      <x:c r="B13" s="25" t="str">
        <x:v>数据</x:v>
      </x:c>
      <x:c r="C13" s="25" t="str">
        <x:v>追溯、审计、测试原始文件和个人信息保存多久？</x:v>
      </x:c>
      <x:c r="D13" s="25" t="str">
        <x:v>业务/IT</x:v>
      </x:c>
      <x:c r="E13" s="25" t="str">
        <x:v>生产设计前</x:v>
      </x:c>
      <x:c r="F13" s="25" t="str">
        <x:v>Open</x:v>
      </x:c>
    </x:row>
    <x:row r="14" ht="36" customHeight="1">
      <x:c r="A14" s="25" t="str">
        <x:v>Q-010</x:v>
      </x:c>
      <x:c r="B14" s="25" t="str">
        <x:v>基础设施</x:v>
      </x:c>
      <x:c r="C14" s="25" t="str">
        <x:v>服务器、网络分区、证书、备份和灾备约束是什么？</x:v>
      </x:c>
      <x:c r="D14" s="25" t="str">
        <x:v>ERP/IT</x:v>
      </x:c>
      <x:c r="E14" s="25" t="str">
        <x:v>部署评审前</x:v>
      </x:c>
      <x:c r="F14" s="25" t="str">
        <x:v>Open</x:v>
      </x:c>
    </x:row>
    <x:row r="15" ht="36" customHeight="1">
      <x:c r="A15" s="25" t="str">
        <x:v>Q-011</x:v>
      </x:c>
      <x:c r="B15" s="25" t="str">
        <x:v>验收</x:v>
      </x:c>
      <x:c r="C15" s="25" t="str">
        <x:v>最终业务验收人、试运行周期和签收标准是什么？</x:v>
      </x:c>
      <x:c r="D15" s="25" t="str">
        <x:v>项目发起人</x:v>
      </x:c>
      <x:c r="E15" s="25" t="str">
        <x:v>项目立项前</x:v>
      </x:c>
      <x:c r="F15" s="25" t="str">
        <x:v>Open</x:v>
      </x:c>
    </x:row>
    <x:row r="16" ht="36" customHeight="1">
      <x:c r="A16" s="25" t="str">
        <x:v>Q-012</x:v>
      </x:c>
      <x:c r="B16" s="25" t="str">
        <x:v>变更</x:v>
      </x:c>
      <x:c r="C16" s="25" t="str">
        <x:v>投产后的订单数量、日期和执行依据变更如何审批？</x:v>
      </x:c>
      <x:c r="D16" s="25" t="str">
        <x:v>计划/工艺</x:v>
      </x:c>
      <x:c r="E16" s="25" t="str">
        <x:v>R2 设计确认前</x:v>
      </x:c>
      <x:c r="F16" s="25" t="str">
        <x:v>Open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37754da2a40d4703"/>
  </x:tableParts>
</x:worksheet>
</file>